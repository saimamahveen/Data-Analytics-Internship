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5"/>
    <sheet state="visible" name="dashboard" sheetId="2" r:id="rId6"/>
    <sheet state="visible" name="Pivot Table 5" sheetId="3" r:id="rId7"/>
    <sheet state="visible" name="Pivot Table 4" sheetId="4" r:id="rId8"/>
    <sheet state="visible" name="Pivot Table 3" sheetId="5" r:id="rId9"/>
    <sheet state="visible" name="Pivot Table 2" sheetId="6" r:id="rId10"/>
  </sheets>
  <definedNames>
    <definedName hidden="1" localSheetId="0" name="_xlnm._FilterDatabase">'Sales Data'!$A$1:$J$101</definedName>
  </definedNames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<sst xmlns="http://schemas.openxmlformats.org/spreadsheetml/2006/main" count="652" uniqueCount="170">
  <si>
    <t>Order ID</t>
  </si>
  <si>
    <t>Order Date</t>
  </si>
  <si>
    <t>Customer Name</t>
  </si>
  <si>
    <t>Category</t>
  </si>
  <si>
    <t>Sub-Category</t>
  </si>
  <si>
    <t>Sales</t>
  </si>
  <si>
    <t>Quantity</t>
  </si>
  <si>
    <t>Profit</t>
  </si>
  <si>
    <t>Region</t>
  </si>
  <si>
    <t>State</t>
  </si>
  <si>
    <t>ORD-1001</t>
  </si>
  <si>
    <t>Sophia Miller</t>
  </si>
  <si>
    <t>Furniture</t>
  </si>
  <si>
    <t>Chairs</t>
  </si>
  <si>
    <t>Central</t>
  </si>
  <si>
    <t>California</t>
  </si>
  <si>
    <t>ORD-1002</t>
  </si>
  <si>
    <t>Zoya Ahmed</t>
  </si>
  <si>
    <t>Office Supplies</t>
  </si>
  <si>
    <t>Binders</t>
  </si>
  <si>
    <t>Florida</t>
  </si>
  <si>
    <t>ORD-1003</t>
  </si>
  <si>
    <t>Aarav Sharma</t>
  </si>
  <si>
    <t>Technology</t>
  </si>
  <si>
    <t>Copiers</t>
  </si>
  <si>
    <t>East</t>
  </si>
  <si>
    <t>Arizona</t>
  </si>
  <si>
    <t>ORD-1004</t>
  </si>
  <si>
    <t>Daniel Brown</t>
  </si>
  <si>
    <t>Paper</t>
  </si>
  <si>
    <t>Ohio</t>
  </si>
  <si>
    <t>ORD-1005</t>
  </si>
  <si>
    <t>Machines</t>
  </si>
  <si>
    <t>Illinois</t>
  </si>
  <si>
    <t>ORD-1006</t>
  </si>
  <si>
    <t>Sara Ali</t>
  </si>
  <si>
    <t>South</t>
  </si>
  <si>
    <t>ORD-1007</t>
  </si>
  <si>
    <t>Emma Wilson</t>
  </si>
  <si>
    <t>Furnishings</t>
  </si>
  <si>
    <t>ORD-1008</t>
  </si>
  <si>
    <t>Phones</t>
  </si>
  <si>
    <t>Washington</t>
  </si>
  <si>
    <t>ORD-1009</t>
  </si>
  <si>
    <t>Envelopes</t>
  </si>
  <si>
    <t>Texas</t>
  </si>
  <si>
    <t>ORD-1010</t>
  </si>
  <si>
    <t>Storage</t>
  </si>
  <si>
    <t>ORD-1011</t>
  </si>
  <si>
    <t>Noah Davis</t>
  </si>
  <si>
    <t>ORD-1012</t>
  </si>
  <si>
    <t>Aisha Khan</t>
  </si>
  <si>
    <t>ORD-1013</t>
  </si>
  <si>
    <t>Accessories</t>
  </si>
  <si>
    <t>West</t>
  </si>
  <si>
    <t>ORD-1014</t>
  </si>
  <si>
    <t>Labels</t>
  </si>
  <si>
    <t>ORD-1015</t>
  </si>
  <si>
    <t>Art</t>
  </si>
  <si>
    <t>New York</t>
  </si>
  <si>
    <t>ORD-1016</t>
  </si>
  <si>
    <t>Rahul Mehta</t>
  </si>
  <si>
    <t>Bookcases</t>
  </si>
  <si>
    <t>ORD-1017</t>
  </si>
  <si>
    <t>ORD-1018</t>
  </si>
  <si>
    <t>ORD-1019</t>
  </si>
  <si>
    <t>ORD-1020</t>
  </si>
  <si>
    <t>Maya Patel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</si>
  <si>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</si>
  <si>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</si>
  <si>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</si>
  <si>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</si>
  <si>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</si>
  <si>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</si>
  <si>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</si>
  <si>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</si>
  <si>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Tables</t>
  </si>
  <si>
    <t>ORD-1029</t>
  </si>
  <si>
    <t>ORD-1030</t>
  </si>
  <si>
    <t>ORD-1031</t>
  </si>
  <si>
    <t>ORD-1032</t>
  </si>
  <si>
    <t>John Smith</t>
  </si>
  <si>
    <t>ORD-1033</t>
  </si>
  <si>
    <t>ORD-1034</t>
  </si>
  <si>
    <t>ORD-1035</t>
  </si>
  <si>
    <t>ORD-1036</t>
  </si>
  <si>
    <t>ORD-1037</t>
  </si>
  <si>
    <t>ORD-1038</t>
  </si>
  <si>
    <t>Arjun Rao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</si>
  <si>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</si>
  <si>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</si>
  <si>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</si>
  <si>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</si>
  <si>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</si>
  <si>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</si>
  <si>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</si>
  <si>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</si>
  <si>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</si>
  <si>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</si>
  <si>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</si>
  <si>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SUM of Profit</t>
  </si>
  <si>
    <t>ORD-1050</t>
  </si>
  <si>
    <t>ORD-1051</t>
  </si>
  <si>
    <t>Grand Total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</si>
  <si>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</si>
  <si>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</si>
  <si>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</si>
  <si>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</si>
  <si>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</si>
  <si>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</si>
  <si>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</si>
  <si>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</si>
  <si>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</si>
  <si>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</si>
  <si>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</si>
  <si>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</si>
  <si>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</si>
  <si>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</si>
  <si>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</si>
  <si>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</si>
  <si>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</si>
  <si>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</si>
  <si>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</si>
  <si>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</si>
  <si>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</si>
  <si>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</si>
  <si>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</si>
  <si>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</si>
  <si>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</si>
  <si>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</si>
  <si>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</si>
  <si>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</si>
  <si>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</si>
  <si>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</si>
  <si>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</si>
  <si>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</si>
  <si>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</si>
  <si>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</si>
  <si>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</si>
  <si>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</si>
  <si>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</si>
  <si>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SALES AND PROFIT DASHBOARD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</si>
  <si>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</si>
  <si>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</si>
  <si>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</si>
  <si>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</si>
  <si>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</si>
  <si>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</si>
  <si>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</si>
  <si>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</si>
  <si>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</si>
  <si>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</si>
  <si>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</si>
  <si>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</si>
  <si>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HIGH PERFORMERS</t>
  </si>
  <si>
    <t>LOW PERFORMERS</t>
  </si>
  <si>
    <t>SUM of Sales</t>
  </si>
  <si>
    <t>Order Date -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</si>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</sst>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m/d/yyyy h:mm:ss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23.0"/>
      <color theme="1"/>
      <name val="Calibri"/>
      <scheme val="minor"/>
    </font>
    <font>
      <sz val="23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CE8B2"/>
        <bgColor rgb="FFFCE8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3" numFmtId="4" xfId="0" applyFont="1" applyNumberFormat="1"/>
    <xf borderId="0" fillId="0" fontId="2" numFmtId="4" xfId="0" applyFont="1" applyNumberFormat="1"/>
    <xf borderId="0" fillId="0" fontId="1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2" fontId="2" numFmtId="0" xfId="0" applyAlignment="1" applyFill="1" applyFont="1">
      <alignment horizontal="left"/>
    </xf>
    <xf borderId="0" fillId="0" fontId="2" numFmtId="0" xfId="0" applyAlignment="1" applyFont="1">
      <alignment horizontal="left"/>
    </xf>
    <xf borderId="0" fillId="0" fontId="2" numFmtId="4" xfId="0" applyAlignment="1" applyFont="1" applyNumberFormat="1">
      <alignment horizontal="left"/>
    </xf>
    <xf borderId="0" fillId="3" fontId="2" numFmtId="0" xfId="0" applyAlignment="1" applyFill="1" applyFont="1">
      <alignment readingOrder="0"/>
    </xf>
    <xf borderId="0" fillId="3" fontId="2" numFmtId="0" xfId="0" applyFill="1" applyFont="1"/>
    <xf borderId="0" fillId="2" fontId="2" numFmtId="4" xfId="0" applyAlignment="1" applyFill="1" applyFont="1" applyNumberFormat="1">
      <alignment horizontal="left"/>
    </xf>
    <xf borderId="0" fillId="0" fontId="2" numFmtId="165" xfId="0" applyFont="1" applyNumberFormat="1"/>
  </cellXfs>
  <cellStyles count="1">
    <cellStyle xfId="0" name="Normal" builtinId="0"/>
  </cellStyles>
  <dxfs count="6"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56BA89"/>
          <bgColor rgb="FF56BA89"/>
        </patternFill>
      </fill>
      <border/>
    </dxf>
    <dxf>
      <font/>
      <fill>
        <patternFill patternType="solid">
          <fgColor rgb="FFB5E0CC"/>
          <bgColor rgb="FFB5E0CC"/>
        </patternFill>
      </fill>
      <border/>
    </dxf>
    <dxf>
      <font/>
      <fill>
        <patternFill patternType="solid">
          <fgColor rgb="FFE57C72"/>
          <bgColor rgb="FFE57C7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lt1"/>
                </a:solidFill>
                <a:latin typeface="Arial"/>
              </a:defRPr>
            </a:pPr>
            <a:r>
              <a:rPr b="0">
                <a:solidFill>
                  <a:schemeClr val="lt1"/>
                </a:solidFill>
                <a:latin typeface="Arial"/>
              </a:rPr>
              <a:t>SUM of Profit vs. Category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3'!$B$1</c:f>
            </c:strRef>
          </c:tx>
          <c:spPr>
            <a:solidFill>
              <a:srgbClr val="3C78D8"/>
            </a:solidFill>
            <a:ln cmpd="sng">
              <a:noFill/>
              <a:prstDash val="sysDot"/>
            </a:ln>
          </c:spPr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axId val="426817594"/>
        <c:axId val="370757237"/>
      </c:bar3DChart>
      <c:catAx>
        <c:axId val="426817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4A86E8"/>
                </a:solidFill>
                <a:latin typeface="+mn-lt"/>
              </a:defRPr>
            </a:pPr>
          </a:p>
        </c:txPr>
        <c:crossAx val="370757237"/>
      </c:catAx>
      <c:valAx>
        <c:axId val="370757237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4A86E8"/>
                </a:solidFill>
                <a:latin typeface="+mn-lt"/>
              </a:defRPr>
            </a:pPr>
          </a:p>
        </c:txPr>
        <c:crossAx val="4268175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SUM of Sales vs. Order Date -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4'!$B$1</c:f>
            </c:strRef>
          </c:tx>
          <c:spPr>
            <a:ln cmpd="sng">
              <a:solidFill>
                <a:srgbClr val="4F81BD"/>
              </a:solidFill>
              <a:prstDash val="solid"/>
            </a:ln>
          </c:spPr>
          <c:marker>
            <c:symbol val="none"/>
          </c:marker>
          <c:cat>
            <c:strRef>
              <c:f>'Pivot Table 4'!$A$2:$A$13</c:f>
            </c:strRef>
          </c:cat>
          <c:val>
            <c:numRef>
              <c:f>'Pivot Table 4'!$B$2:$B$13</c:f>
              <c:numCache/>
            </c:numRef>
          </c:val>
          <c:smooth val="1"/>
        </c:ser>
        <c:axId val="2040086876"/>
        <c:axId val="2016356562"/>
      </c:lineChart>
      <c:catAx>
        <c:axId val="2040086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4A86E8"/>
                </a:solidFill>
                <a:latin typeface="+mn-lt"/>
              </a:defRPr>
            </a:pPr>
          </a:p>
        </c:txPr>
        <c:crossAx val="2016356562"/>
      </c:catAx>
      <c:valAx>
        <c:axId val="2016356562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A86E8"/>
                </a:solidFill>
                <a:latin typeface="+mn-lt"/>
              </a:defRPr>
            </a:pPr>
          </a:p>
        </c:txPr>
        <c:crossAx val="2040086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  <a:r>
              <a:rPr b="0">
                <a:solidFill>
                  <a:schemeClr val="lt1"/>
                </a:solidFill>
                <a:latin typeface="+mn-lt"/>
              </a:rPr>
              <a:t>SUM of Profit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'Pivot Table 5'!$B$1</c:f>
            </c:strRef>
          </c:tx>
          <c:dPt>
            <c:idx val="0"/>
            <c:spPr>
              <a:solidFill>
                <a:srgbClr val="4A86E8"/>
              </a:solidFill>
            </c:spPr>
          </c:dPt>
          <c:dPt>
            <c:idx val="1"/>
            <c:spPr>
              <a:solidFill>
                <a:srgbClr val="B7E1C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5'!$A$2:$A$5</c:f>
            </c:strRef>
          </c:cat>
          <c:val>
            <c:numRef>
              <c:f>'Pivot Table 5'!$B$2:$B$5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A86E8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5'!$B$1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5'!$A$2:$A$5</c:f>
            </c:strRef>
          </c:cat>
          <c:val>
            <c:numRef>
              <c:f>'Pivot Table 5'!$B$2:$B$5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Order Date -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4'!$B$1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'Pivot Table 4'!$A$2:$A$13</c:f>
            </c:strRef>
          </c:cat>
          <c:val>
            <c:numRef>
              <c:f>'Pivot Table 4'!$B$2:$B$13</c:f>
              <c:numCache/>
            </c:numRef>
          </c:val>
          <c:smooth val="1"/>
        </c:ser>
        <c:axId val="1355611560"/>
        <c:axId val="1765254444"/>
      </c:lineChart>
      <c:catAx>
        <c:axId val="1355611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254444"/>
      </c:catAx>
      <c:valAx>
        <c:axId val="1765254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6115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axId val="611863068"/>
        <c:axId val="1905503909"/>
      </c:barChart>
      <c:catAx>
        <c:axId val="6118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503909"/>
      </c:catAx>
      <c:valAx>
        <c:axId val="1905503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863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2</xdr:row>
      <xdr:rowOff>0</xdr:rowOff>
    </xdr:from>
    <xdr:ext cx="3181350" cy="2390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647700</xdr:colOff>
      <xdr:row>2</xdr:row>
      <xdr:rowOff>0</xdr:rowOff>
    </xdr:from>
    <xdr:ext cx="3543300" cy="2390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447675</xdr:colOff>
      <xdr:row>2</xdr:row>
      <xdr:rowOff>0</xdr:rowOff>
    </xdr:from>
    <xdr:ext cx="4276725" cy="2390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1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Sales Data"/>
  </cacheSource>
  <cacheFields>
    <cacheField name="Order ID" numFmtId="0">
      <sharedItems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  <s v="ORD-1025"/>
        <s v="ORD-1026"/>
        <s v="ORD-1027"/>
        <s v="ORD-1028"/>
        <s v="ORD-1029"/>
        <s v="ORD-1030"/>
        <s v="ORD-1031"/>
        <s v="ORD-1032"/>
        <s v="ORD-1033"/>
        <s v="ORD-1034"/>
        <s v="ORD-1035"/>
        <s v="ORD-1036"/>
        <s v="ORD-1037"/>
        <s v="ORD-1038"/>
        <s v="ORD-1039"/>
        <s v="ORD-1040"/>
        <s v="ORD-1041"/>
        <s v="ORD-1042"/>
        <s v="ORD-1043"/>
        <s v="ORD-1044"/>
        <s v="ORD-1045"/>
        <s v="ORD-1046"/>
        <s v="ORD-1047"/>
        <s v="ORD-1048"/>
        <s v="ORD-1049"/>
        <s v="ORD-1050"/>
        <s v="ORD-1051"/>
        <s v="ORD-1052"/>
        <s v="ORD-1053"/>
        <s v="ORD-1054"/>
        <s v="ORD-1055"/>
        <s v="ORD-1056"/>
        <s v="ORD-1057"/>
        <s v="ORD-1058"/>
        <s v="ORD-1059"/>
        <s v="ORD-1060"/>
        <s v="ORD-1061"/>
        <s v="ORD-1062"/>
        <s v="ORD-1063"/>
        <s v="ORD-1064"/>
        <s v="ORD-1065"/>
        <s v="ORD-1066"/>
        <s v="ORD-1067"/>
        <s v="ORD-1068"/>
        <s v="ORD-1069"/>
        <s v="ORD-1070"/>
        <s v="ORD-1071"/>
        <s v="ORD-1072"/>
        <s v="ORD-1073"/>
        <s v="ORD-1074"/>
        <s v="ORD-1075"/>
        <s v="ORD-1076"/>
        <s v="ORD-1077"/>
        <s v="ORD-1078"/>
        <s v="ORD-1079"/>
        <s v="ORD-1080"/>
        <s v="ORD-1081"/>
        <s v="ORD-1082"/>
        <s v="ORD-1083"/>
        <s v="ORD-1084"/>
        <s v="ORD-1085"/>
        <s v="ORD-1086"/>
        <s v="ORD-1087"/>
        <s v="ORD-1088"/>
        <s v="ORD-1089"/>
        <s v="ORD-1090"/>
        <s v="ORD-1091"/>
        <s v="ORD-1092"/>
        <s v="ORD-1093"/>
        <s v="ORD-1094"/>
        <s v="ORD-1095"/>
        <s v="ORD-1096"/>
        <s v="ORD-1097"/>
        <s v="ORD-1098"/>
        <s v="ORD-1099"/>
        <s v="ORD-1100"/>
      </sharedItems>
    </cacheField>
    <cacheField name="Order Date" numFmtId="164">
      <sharedItems containsSemiMixedTypes="0" containsDate="1" containsString="0">
        <d v="2024-10-16T00:00:00Z"/>
        <d v="2024-08-27T00:00:00Z"/>
        <d v="2024-10-27T00:00:00Z"/>
        <d v="2023-12-15T00:00:00Z"/>
        <d v="2023-12-19T00:00:00Z"/>
        <d v="2024-10-05T00:00:00Z"/>
        <d v="2023-08-27T00:00:00Z"/>
        <d v="2024-12-19T00:00:00Z"/>
        <d v="2024-01-24T00:00:00Z"/>
        <d v="2023-11-20T00:00:00Z"/>
        <d v="2024-02-10T00:00:00Z"/>
        <d v="2024-08-20T00:00:00Z"/>
        <d v="2023-06-06T00:00:00Z"/>
        <d v="2024-06-25T00:00:00Z"/>
        <d v="2023-04-25T00:00:00Z"/>
        <d v="2024-06-03T00:00:00Z"/>
        <d v="2024-07-06T00:00:00Z"/>
        <d v="2023-03-01T00:00:00Z"/>
        <d v="2024-11-06T00:00:00Z"/>
        <d v="2023-11-16T00:00:00Z"/>
        <d v="2023-08-19T00:00:00Z"/>
        <d v="2024-12-25T00:00:00Z"/>
        <d v="2024-11-16T00:00:00Z"/>
        <d v="2023-07-14T00:00:00Z"/>
        <d v="2023-03-04T00:00:00Z"/>
        <d v="2024-03-08T00:00:00Z"/>
        <d v="2024-10-29T00:00:00Z"/>
        <d v="2024-02-15T00:00:00Z"/>
        <d v="2024-12-14T00:00:00Z"/>
        <d v="2023-02-28T00:00:00Z"/>
        <d v="2023-03-12T00:00:00Z"/>
        <d v="2024-09-26T00:00:00Z"/>
        <d v="2023-09-02T00:00:00Z"/>
        <d v="2024-09-28T00:00:00Z"/>
        <d v="2023-09-08T00:00:00Z"/>
        <d v="2024-11-10T00:00:00Z"/>
        <d v="2024-09-11T00:00:00Z"/>
        <d v="2024-10-11T00:00:00Z"/>
        <d v="2024-03-28T00:00:00Z"/>
        <d v="2024-01-14T00:00:00Z"/>
        <d v="2024-11-29T00:00:00Z"/>
        <d v="2023-06-16T00:00:00Z"/>
        <d v="2023-06-13T00:00:00Z"/>
        <d v="2023-12-25T00:00:00Z"/>
        <d v="2023-12-26T00:00:00Z"/>
        <d v="2023-07-02T00:00:00Z"/>
        <d v="2024-09-12T00:00:00Z"/>
        <d v="2024-06-16T00:00:00Z"/>
        <d v="2023-11-04T00:00:00Z"/>
        <d v="2024-03-06T00:00:00Z"/>
        <d v="2023-11-08T00:00:00Z"/>
        <d v="2023-08-29T00:00:00Z"/>
        <d v="2024-09-17T00:00:00Z"/>
        <d v="2024-02-14T00:00:00Z"/>
        <d v="2023-06-30T00:00:00Z"/>
        <d v="2024-04-20T00:00:00Z"/>
        <d v="2023-06-12T00:00:00Z"/>
        <d v="2023-10-09T00:00:00Z"/>
        <d v="2023-06-04T00:00:00Z"/>
        <d v="2024-03-01T00:00:00Z"/>
        <d v="2024-05-03T00:00:00Z"/>
        <d v="2023-08-13T00:00:00Z"/>
        <d v="2024-04-23T00:00:00Z"/>
        <d v="2023-05-19T00:00:00Z"/>
        <d v="2023-08-18T00:00:00Z"/>
        <d v="2024-01-13T00:00:00Z"/>
        <d v="2024-08-12T00:00:00Z"/>
        <d v="2024-06-29T00:00:00Z"/>
        <d v="2023-04-19T00:00:00Z"/>
        <d v="2024-09-22T00:00:00Z"/>
        <d v="2024-04-06T00:00:00Z"/>
        <d v="2024-05-14T00:00:00Z"/>
        <d v="2024-06-13T00:00:00Z"/>
        <d v="2024-04-03T00:00:00Z"/>
        <d v="2024-07-20T00:00:00Z"/>
        <d v="2023-11-10T00:00:00Z"/>
        <d v="2023-08-10T00:00:00Z"/>
        <d v="2023-07-18T00:00:00Z"/>
        <d v="2023-02-16T00:00:00Z"/>
        <d v="2024-08-10T00:00:00Z"/>
        <d v="2023-04-27T00:00:00Z"/>
        <d v="2024-07-30T00:00:00Z"/>
        <d v="2023-08-01T00:00:00Z"/>
        <d v="2023-01-03T00:00:00Z"/>
        <d v="2024-12-20T00:00:00Z"/>
        <d v="2023-04-28T00:00:00Z"/>
        <d v="2023-11-11T00:00:00Z"/>
        <d v="2024-05-27T00:00:00Z"/>
        <d v="2023-01-27T00:00:00Z"/>
        <d v="2023-06-29T00:00:00Z"/>
        <d v="2023-04-04T00:00:00Z"/>
        <d v="2024-12-11T00:00:00Z"/>
        <d v="2023-04-01T00:00:00Z"/>
        <d v="2023-02-25T00:00:00Z"/>
        <d v="2024-07-16T00:00:00Z"/>
      </sharedItems>
    </cacheField>
    <cacheField name="Customer Name" numFmtId="0">
      <sharedItems>
        <s v="Sophia Miller"/>
        <s v="Zoya Ahmed"/>
        <s v="Aarav Sharma"/>
        <s v="Daniel Brown"/>
        <s v="Sara Ali"/>
        <s v="Emma Wilson"/>
        <s v="Noah Davis"/>
        <s v="Aisha Khan"/>
        <s v="Rahul Mehta"/>
        <s v="Maya Patel"/>
        <s v="John Smith"/>
        <s v="Arjun Rao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Chairs"/>
        <s v="Binders"/>
        <s v="Copiers"/>
        <s v="Paper"/>
        <s v="Machines"/>
        <s v="Furnishings"/>
        <s v="Phones"/>
        <s v="Envelopes"/>
        <s v="Storage"/>
        <s v="Accessories"/>
        <s v="Labels"/>
        <s v="Art"/>
        <s v="Bookcases"/>
        <s v="Tables"/>
      </sharedItems>
    </cacheField>
    <cacheField name="Sales" numFmtId="4">
      <sharedItems containsSemiMixedTypes="0" containsString="0" containsNumber="1">
        <n v="1117.49"/>
        <n v="64.1"/>
        <n v="346.25"/>
        <n v="338.66"/>
        <n v="1214.55"/>
        <n v="874.48"/>
        <n v="431.4"/>
        <n v="921.51"/>
        <n v="1038.48"/>
        <n v="117.96"/>
        <n v="231.45"/>
        <n v="344.59"/>
        <n v="1192.28"/>
        <n v="1293.95"/>
        <n v="254.07"/>
        <n v="1265.67"/>
        <n v="906.44"/>
        <n v="146.77"/>
        <n v="264.39"/>
        <n v="981.82"/>
        <n v="51.13"/>
        <n v="358.83"/>
        <n v="818.07"/>
        <n v="995.29"/>
        <n v="522.17"/>
        <n v="704.69"/>
        <n v="1454.11"/>
        <n v="580.88"/>
        <n v="249.1"/>
        <n v="764.22"/>
        <n v="1019.31"/>
        <n v="992.91"/>
        <n v="213.7"/>
        <n v="128.43"/>
        <n v="253.47"/>
        <n v="411.41"/>
        <n v="321.32"/>
        <n v="85.25"/>
        <n v="850.14"/>
        <n v="656.08"/>
        <n v="543.44"/>
        <n v="56.68"/>
        <n v="586.16"/>
        <n v="349.93"/>
        <n v="1025.69"/>
        <n v="76.62"/>
        <n v="590.09"/>
        <n v="559.05"/>
        <n v="1007.0"/>
        <n v="1022.43"/>
        <n v="656.23"/>
        <n v="776.54"/>
        <n v="352.47"/>
        <n v="633.37"/>
        <n v="990.97"/>
        <n v="94.32"/>
        <n v="1426.06"/>
        <n v="686.1"/>
        <n v="1076.05"/>
        <n v="1047.05"/>
        <n v="1252.68"/>
        <n v="461.95"/>
        <n v="738.75"/>
        <n v="1362.25"/>
        <n v="94.42"/>
        <n v="393.36"/>
        <n v="1176.22"/>
        <n v="206.81"/>
        <n v="1171.13"/>
        <n v="607.05"/>
        <n v="908.61"/>
        <n v="568.44"/>
        <n v="960.67"/>
        <n v="708.01"/>
        <n v="863.38"/>
        <n v="1200.79"/>
        <n v="377.21"/>
        <n v="455.47"/>
        <n v="649.75"/>
        <n v="198.57"/>
        <n v="429.22"/>
        <n v="554.1"/>
        <n v="1052.18"/>
        <n v="728.5"/>
        <n v="747.78"/>
        <n v="1491.0"/>
        <n v="1293.05"/>
        <n v="411.68"/>
        <n v="1040.27"/>
        <n v="1037.33"/>
        <n v="978.5"/>
        <n v="669.95"/>
        <n v="667.88"/>
        <n v="1443.63"/>
        <n v="984.23"/>
        <n v="624.36"/>
        <n v="1000.62"/>
        <n v="498.45"/>
        <n v="941.5"/>
        <n v="668.41"/>
      </sharedItems>
    </cacheField>
    <cacheField name="Quantity" numFmtId="0">
      <sharedItems containsSemiMixedTypes="0" containsString="0" containsNumber="1" containsInteger="1">
        <n v="4.0"/>
        <n v="10.0"/>
        <n v="6.0"/>
        <n v="8.0"/>
        <n v="2.0"/>
        <n v="3.0"/>
        <n v="7.0"/>
        <n v="1.0"/>
        <n v="9.0"/>
        <n v="5.0"/>
      </sharedItems>
    </cacheField>
    <cacheField name="Profit" numFmtId="4">
      <sharedItems containsSemiMixedTypes="0" containsString="0" containsNumber="1">
        <n v="-55.38"/>
        <n v="-2.9"/>
        <n v="-8.59"/>
        <n v="-35.22"/>
        <n v="110.89"/>
        <n v="-113.14"/>
        <n v="-33.13"/>
        <n v="83.27"/>
        <n v="164.16"/>
        <n v="28.83"/>
        <n v="-9.03"/>
        <n v="27.32"/>
        <n v="141.15"/>
        <n v="202.02"/>
        <n v="70.94"/>
        <n v="156.99"/>
        <n v="-128.02"/>
        <n v="31.88"/>
        <n v="64.14"/>
        <n v="250.19"/>
        <n v="-2.37"/>
        <n v="84.98"/>
        <n v="89.41"/>
        <n v="40.42"/>
        <n v="-19.9"/>
        <n v="34.82"/>
        <n v="-109.29"/>
        <n v="-17.81"/>
        <n v="-12.96"/>
        <n v="-60.49"/>
        <n v="32.31"/>
        <n v="84.65"/>
        <n v="11.91"/>
        <n v="9.97"/>
        <n v="42.23"/>
        <n v="75.74"/>
        <n v="24.88"/>
        <n v="16.79"/>
        <n v="-98.74"/>
        <n v="-7.4"/>
        <n v="134.7"/>
        <n v="11.45"/>
        <n v="138.55"/>
        <n v="10.26"/>
        <n v="-1.01"/>
        <n v="3.49"/>
        <n v="-38.04"/>
        <n v="154.85"/>
        <n v="31.3"/>
        <n v="129.83"/>
        <n v="80.71"/>
        <n v="113.75"/>
        <n v="-29.5"/>
        <n v="-39.59"/>
        <n v="249.42"/>
        <n v="24.79"/>
        <n v="179.25"/>
        <n v="156.39"/>
        <n v="-29.84"/>
        <n v="-126.79"/>
        <n v="322.16"/>
        <n v="108.12"/>
        <n v="0.93"/>
        <n v="141.64"/>
        <n v="-0.25"/>
        <n v="24.25"/>
        <n v="222.78"/>
        <n v="21.46"/>
        <n v="332.75"/>
        <n v="-70.3"/>
        <n v="189.27"/>
        <n v="80.37"/>
        <n v="161.67"/>
        <n v="-20.69"/>
        <n v="1.19"/>
        <n v="-29.0"/>
        <n v="26.35"/>
        <n v="73.47"/>
        <n v="-0.74"/>
        <n v="-1.59"/>
        <n v="124.25"/>
        <n v="-79.59"/>
        <n v="144.19"/>
        <n v="-48.84"/>
        <n v="99.64"/>
        <n v="150.79"/>
        <n v="-16.27"/>
        <n v="-32.66"/>
        <n v="-19.7"/>
        <n v="212.16"/>
        <n v="217.21"/>
        <n v="107.13"/>
        <n v="-88.2"/>
        <n v="164.87"/>
        <n v="-67.25"/>
        <n v="94.63"/>
        <n v="216.24"/>
        <n v="119.23"/>
        <n v="123.75"/>
        <n v="-63.74"/>
      </sharedItems>
    </cacheField>
    <cacheField name="Region" numFmtId="0">
      <sharedItems>
        <s v="Central"/>
        <s v="East"/>
        <s v="South"/>
        <s v="West"/>
      </sharedItems>
    </cacheField>
    <cacheField name="State" numFmtId="0">
      <sharedItems>
        <s v="California"/>
        <s v="Florida"/>
        <s v="Arizona"/>
        <s v="Ohio"/>
        <s v="Illinois"/>
        <s v="Washington"/>
        <s v="Texas"/>
        <s v="New York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Sales Data"/>
  </cacheSource>
  <cacheFields>
    <cacheField name="Order ID" numFmtId="0">
      <sharedItems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  <s v="ORD-1025"/>
        <s v="ORD-1026"/>
        <s v="ORD-1027"/>
        <s v="ORD-1028"/>
        <s v="ORD-1029"/>
        <s v="ORD-1030"/>
        <s v="ORD-1031"/>
        <s v="ORD-1032"/>
        <s v="ORD-1033"/>
        <s v="ORD-1034"/>
        <s v="ORD-1035"/>
        <s v="ORD-1036"/>
        <s v="ORD-1037"/>
        <s v="ORD-1038"/>
        <s v="ORD-1039"/>
        <s v="ORD-1040"/>
        <s v="ORD-1041"/>
        <s v="ORD-1042"/>
        <s v="ORD-1043"/>
        <s v="ORD-1044"/>
        <s v="ORD-1045"/>
        <s v="ORD-1046"/>
        <s v="ORD-1047"/>
        <s v="ORD-1048"/>
        <s v="ORD-1049"/>
        <s v="ORD-1050"/>
        <s v="ORD-1051"/>
        <s v="ORD-1052"/>
        <s v="ORD-1053"/>
        <s v="ORD-1054"/>
        <s v="ORD-1055"/>
        <s v="ORD-1056"/>
        <s v="ORD-1057"/>
        <s v="ORD-1058"/>
        <s v="ORD-1059"/>
        <s v="ORD-1060"/>
        <s v="ORD-1061"/>
        <s v="ORD-1062"/>
        <s v="ORD-1063"/>
        <s v="ORD-1064"/>
        <s v="ORD-1065"/>
        <s v="ORD-1066"/>
        <s v="ORD-1067"/>
        <s v="ORD-1068"/>
        <s v="ORD-1069"/>
        <s v="ORD-1070"/>
        <s v="ORD-1071"/>
        <s v="ORD-1072"/>
        <s v="ORD-1073"/>
        <s v="ORD-1074"/>
        <s v="ORD-1075"/>
        <s v="ORD-1076"/>
        <s v="ORD-1077"/>
        <s v="ORD-1078"/>
        <s v="ORD-1079"/>
        <s v="ORD-1080"/>
        <s v="ORD-1081"/>
        <s v="ORD-1082"/>
        <s v="ORD-1083"/>
        <s v="ORD-1084"/>
        <s v="ORD-1085"/>
        <s v="ORD-1086"/>
        <s v="ORD-1087"/>
        <s v="ORD-1088"/>
        <s v="ORD-1089"/>
        <s v="ORD-1090"/>
        <s v="ORD-1091"/>
        <s v="ORD-1092"/>
        <s v="ORD-1093"/>
        <s v="ORD-1094"/>
        <s v="ORD-1095"/>
        <s v="ORD-1096"/>
        <s v="ORD-1097"/>
        <s v="ORD-1098"/>
        <s v="ORD-1099"/>
        <s v="ORD-1100"/>
      </sharedItems>
    </cacheField>
    <cacheField name="Order Date" numFmtId="164">
      <sharedItems containsSemiMixedTypes="0" containsNonDate="0" containsDate="1" containsString="0">
        <d v="2024-10-16T00:00:00Z"/>
        <d v="2024-08-27T00:00:00Z"/>
        <d v="2024-10-27T00:00:00Z"/>
        <d v="2023-12-15T00:00:00Z"/>
        <d v="2023-12-19T00:00:00Z"/>
        <d v="2024-10-05T00:00:00Z"/>
        <d v="2023-08-27T00:00:00Z"/>
        <d v="2024-12-19T00:00:00Z"/>
        <d v="2024-01-24T00:00:00Z"/>
        <d v="2023-11-20T00:00:00Z"/>
        <d v="2024-02-10T00:00:00Z"/>
        <d v="2024-08-20T00:00:00Z"/>
        <d v="2023-06-06T00:00:00Z"/>
        <d v="2024-06-25T00:00:00Z"/>
        <d v="2023-04-25T00:00:00Z"/>
        <d v="2024-06-03T00:00:00Z"/>
        <d v="2024-07-06T00:00:00Z"/>
        <d v="2023-03-01T00:00:00Z"/>
        <d v="2024-11-06T00:00:00Z"/>
        <d v="2023-11-16T00:00:00Z"/>
        <d v="2023-08-19T00:00:00Z"/>
        <d v="2024-12-25T00:00:00Z"/>
        <d v="2024-11-16T00:00:00Z"/>
        <d v="2023-07-14T00:00:00Z"/>
        <d v="2023-03-04T00:00:00Z"/>
        <d v="2024-03-08T00:00:00Z"/>
        <d v="2024-10-29T00:00:00Z"/>
        <d v="2024-02-15T00:00:00Z"/>
        <d v="2024-12-14T00:00:00Z"/>
        <d v="2023-02-28T00:00:00Z"/>
        <d v="2023-03-12T00:00:00Z"/>
        <d v="2024-09-26T00:00:00Z"/>
        <d v="2023-09-02T00:00:00Z"/>
        <d v="2024-09-28T00:00:00Z"/>
        <d v="2023-09-08T00:00:00Z"/>
        <d v="2024-11-10T00:00:00Z"/>
        <d v="2024-09-11T00:00:00Z"/>
        <d v="2024-10-11T00:00:00Z"/>
        <d v="2024-03-28T00:00:00Z"/>
        <d v="2024-01-14T00:00:00Z"/>
        <d v="2024-11-29T00:00:00Z"/>
        <d v="2023-06-16T00:00:00Z"/>
        <d v="2023-06-13T00:00:00Z"/>
        <d v="2023-12-25T00:00:00Z"/>
        <d v="2023-12-26T00:00:00Z"/>
        <d v="2023-07-02T00:00:00Z"/>
        <d v="2024-09-12T00:00:00Z"/>
        <d v="2024-06-16T00:00:00Z"/>
        <d v="2023-11-04T00:00:00Z"/>
        <d v="2024-03-06T00:00:00Z"/>
        <d v="2023-11-08T00:00:00Z"/>
        <d v="2023-08-29T00:00:00Z"/>
        <d v="2024-09-17T00:00:00Z"/>
        <d v="2024-02-14T00:00:00Z"/>
        <d v="2023-06-30T00:00:00Z"/>
        <d v="2024-04-20T00:00:00Z"/>
        <d v="2023-06-12T00:00:00Z"/>
        <d v="2023-10-09T00:00:00Z"/>
        <d v="2023-06-04T00:00:00Z"/>
        <d v="2024-03-01T00:00:00Z"/>
        <d v="2024-05-03T00:00:00Z"/>
        <d v="2023-08-13T00:00:00Z"/>
        <d v="2024-04-23T00:00:00Z"/>
        <d v="2023-05-19T00:00:00Z"/>
        <d v="2023-08-18T00:00:00Z"/>
        <d v="2024-01-13T00:00:00Z"/>
        <d v="2024-08-12T00:00:00Z"/>
        <d v="2024-06-29T00:00:00Z"/>
        <d v="2023-04-19T00:00:00Z"/>
        <d v="2024-09-22T00:00:00Z"/>
        <d v="2024-04-06T00:00:00Z"/>
        <d v="2024-05-14T00:00:00Z"/>
        <d v="2024-06-13T00:00:00Z"/>
        <d v="2024-04-03T00:00:00Z"/>
        <d v="2024-07-20T00:00:00Z"/>
        <d v="2023-11-10T00:00:00Z"/>
        <d v="2023-08-10T00:00:00Z"/>
        <d v="2023-07-18T00:00:00Z"/>
        <d v="2023-02-16T00:00:00Z"/>
        <d v="2024-08-10T00:00:00Z"/>
        <d v="2023-04-27T00:00:00Z"/>
        <d v="2024-07-30T00:00:00Z"/>
        <d v="2023-08-01T00:00:00Z"/>
        <d v="2023-01-03T00:00:00Z"/>
        <d v="2024-12-20T00:00:00Z"/>
        <d v="2023-04-28T00:00:00Z"/>
        <d v="2023-11-11T00:00:00Z"/>
        <d v="2024-05-27T00:00:00Z"/>
        <d v="2023-01-27T00:00:00Z"/>
        <d v="2023-06-29T00:00:00Z"/>
        <d v="2023-04-04T00:00:00Z"/>
        <d v="2024-12-11T00:00:00Z"/>
        <d v="2023-04-01T00:00:00Z"/>
        <d v="2023-02-25T00:00:00Z"/>
        <d v="2024-07-16T00:00:00Z"/>
      </sharedItems>
      <fieldGroup par="10"/>
    </cacheField>
    <cacheField name="Customer Name" numFmtId="0">
      <sharedItems>
        <s v="Sophia Miller"/>
        <s v="Zoya Ahmed"/>
        <s v="Aarav Sharma"/>
        <s v="Daniel Brown"/>
        <s v="Sara Ali"/>
        <s v="Emma Wilson"/>
        <s v="Noah Davis"/>
        <s v="Aisha Khan"/>
        <s v="Rahul Mehta"/>
        <s v="Maya Patel"/>
        <s v="John Smith"/>
        <s v="Arjun Rao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Chairs"/>
        <s v="Binders"/>
        <s v="Copiers"/>
        <s v="Paper"/>
        <s v="Machines"/>
        <s v="Furnishings"/>
        <s v="Phones"/>
        <s v="Envelopes"/>
        <s v="Storage"/>
        <s v="Accessories"/>
        <s v="Labels"/>
        <s v="Art"/>
        <s v="Bookcases"/>
        <s v="Tables"/>
      </sharedItems>
    </cacheField>
    <cacheField name="Sales" numFmtId="4">
      <sharedItems containsSemiMixedTypes="0" containsString="0" containsNumber="1">
        <n v="1117.49"/>
        <n v="64.1"/>
        <n v="346.25"/>
        <n v="338.66"/>
        <n v="1214.55"/>
        <n v="874.48"/>
        <n v="431.4"/>
        <n v="921.51"/>
        <n v="1038.48"/>
        <n v="117.96"/>
        <n v="231.45"/>
        <n v="344.59"/>
        <n v="1192.28"/>
        <n v="1293.95"/>
        <n v="254.07"/>
        <n v="1265.67"/>
        <n v="906.44"/>
        <n v="146.77"/>
        <n v="264.39"/>
        <n v="981.82"/>
        <n v="51.13"/>
        <n v="358.83"/>
        <n v="818.07"/>
        <n v="995.29"/>
        <n v="522.17"/>
        <n v="704.69"/>
        <n v="1454.11"/>
        <n v="580.88"/>
        <n v="249.1"/>
        <n v="764.22"/>
        <n v="1019.31"/>
        <n v="992.91"/>
        <n v="213.7"/>
        <n v="128.43"/>
        <n v="253.47"/>
        <n v="411.41"/>
        <n v="321.32"/>
        <n v="85.25"/>
        <n v="850.14"/>
        <n v="656.08"/>
        <n v="543.44"/>
        <n v="56.68"/>
        <n v="586.16"/>
        <n v="349.93"/>
        <n v="1025.69"/>
        <n v="76.62"/>
        <n v="590.09"/>
        <n v="559.05"/>
        <n v="1007.0"/>
        <n v="1022.43"/>
        <n v="656.23"/>
        <n v="776.54"/>
        <n v="352.47"/>
        <n v="633.37"/>
        <n v="990.97"/>
        <n v="94.32"/>
        <n v="1426.06"/>
        <n v="686.1"/>
        <n v="1076.05"/>
        <n v="1047.05"/>
        <n v="1252.68"/>
        <n v="461.95"/>
        <n v="738.75"/>
        <n v="1362.25"/>
        <n v="94.42"/>
        <n v="393.36"/>
        <n v="1176.22"/>
        <n v="206.81"/>
        <n v="1171.13"/>
        <n v="607.05"/>
        <n v="908.61"/>
        <n v="568.44"/>
        <n v="960.67"/>
        <n v="708.01"/>
        <n v="863.38"/>
        <n v="1200.79"/>
        <n v="377.21"/>
        <n v="455.47"/>
        <n v="649.75"/>
        <n v="198.57"/>
        <n v="429.22"/>
        <n v="554.1"/>
        <n v="1052.18"/>
        <n v="728.5"/>
        <n v="747.78"/>
        <n v="1491.0"/>
        <n v="1293.05"/>
        <n v="411.68"/>
        <n v="1040.27"/>
        <n v="1037.33"/>
        <n v="978.5"/>
        <n v="669.95"/>
        <n v="667.88"/>
        <n v="1443.63"/>
        <n v="984.23"/>
        <n v="624.36"/>
        <n v="1000.62"/>
        <n v="498.45"/>
        <n v="941.5"/>
        <n v="668.41"/>
      </sharedItems>
    </cacheField>
    <cacheField name="Quantity" numFmtId="0">
      <sharedItems containsSemiMixedTypes="0" containsString="0" containsNumber="1" containsInteger="1">
        <n v="4.0"/>
        <n v="10.0"/>
        <n v="6.0"/>
        <n v="8.0"/>
        <n v="2.0"/>
        <n v="3.0"/>
        <n v="7.0"/>
        <n v="1.0"/>
        <n v="9.0"/>
        <n v="5.0"/>
      </sharedItems>
    </cacheField>
    <cacheField name="Profit" numFmtId="4">
      <sharedItems containsSemiMixedTypes="0" containsString="0" containsNumber="1">
        <n v="-55.38"/>
        <n v="-2.9"/>
        <n v="-8.59"/>
        <n v="-35.22"/>
        <n v="110.89"/>
        <n v="-113.14"/>
        <n v="-33.13"/>
        <n v="83.27"/>
        <n v="164.16"/>
        <n v="28.83"/>
        <n v="-9.03"/>
        <n v="27.32"/>
        <n v="141.15"/>
        <n v="202.02"/>
        <n v="70.94"/>
        <n v="156.99"/>
        <n v="-128.02"/>
        <n v="31.88"/>
        <n v="64.14"/>
        <n v="250.19"/>
        <n v="-2.37"/>
        <n v="84.98"/>
        <n v="89.41"/>
        <n v="40.42"/>
        <n v="-19.9"/>
        <n v="34.82"/>
        <n v="-109.29"/>
        <n v="-17.81"/>
        <n v="-12.96"/>
        <n v="-60.49"/>
        <n v="32.31"/>
        <n v="84.65"/>
        <n v="11.91"/>
        <n v="9.97"/>
        <n v="42.23"/>
        <n v="75.74"/>
        <n v="24.88"/>
        <n v="16.79"/>
        <n v="-98.74"/>
        <n v="-7.4"/>
        <n v="134.7"/>
        <n v="11.45"/>
        <n v="138.55"/>
        <n v="10.26"/>
        <n v="-1.01"/>
        <n v="3.49"/>
        <n v="-38.04"/>
        <n v="154.85"/>
        <n v="31.3"/>
        <n v="129.83"/>
        <n v="80.71"/>
        <n v="113.75"/>
        <n v="-29.5"/>
        <n v="-39.59"/>
        <n v="249.42"/>
        <n v="24.79"/>
        <n v="179.25"/>
        <n v="156.39"/>
        <n v="-29.84"/>
        <n v="-126.79"/>
        <n v="322.16"/>
        <n v="108.12"/>
        <n v="0.93"/>
        <n v="141.64"/>
        <n v="-0.25"/>
        <n v="24.25"/>
        <n v="222.78"/>
        <n v="21.46"/>
        <n v="332.75"/>
        <n v="-70.3"/>
        <n v="189.27"/>
        <n v="80.37"/>
        <n v="161.67"/>
        <n v="-20.69"/>
        <n v="1.19"/>
        <n v="-29.0"/>
        <n v="26.35"/>
        <n v="73.47"/>
        <n v="-0.74"/>
        <n v="-1.59"/>
        <n v="124.25"/>
        <n v="-79.59"/>
        <n v="144.19"/>
        <n v="-48.84"/>
        <n v="99.64"/>
        <n v="150.79"/>
        <n v="-16.27"/>
        <n v="-32.66"/>
        <n v="-19.7"/>
        <n v="212.16"/>
        <n v="217.21"/>
        <n v="107.13"/>
        <n v="-88.2"/>
        <n v="164.87"/>
        <n v="-67.25"/>
        <n v="94.63"/>
        <n v="216.24"/>
        <n v="119.23"/>
        <n v="123.75"/>
        <n v="-63.74"/>
      </sharedItems>
    </cacheField>
    <cacheField name="Region" numFmtId="0">
      <sharedItems>
        <s v="Central"/>
        <s v="East"/>
        <s v="South"/>
        <s v="West"/>
      </sharedItems>
    </cacheField>
    <cacheField name="State" numFmtId="0">
      <sharedItems>
        <s v="California"/>
        <s v="Florida"/>
        <s v="Arizona"/>
        <s v="Ohio"/>
        <s v="Illinois"/>
        <s v="Washington"/>
        <s v="Texas"/>
        <s v="New York"/>
      </sharedItems>
    </cacheField>
    <cacheField name="order date2" databaseField="0">
      <fieldGroup base="1">
        <rangePr autoStart="0" autoEnd="0" groupBy="months" startDate="2023-01-03T00:00:00Z" endDate="2024-12-26T00:00:00Z"/>
        <groupItems>
          <s v="&lt;01/03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6/24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A17:B21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al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3"/>
  </rowFields>
  <dataFields>
    <dataField name="SUM of Profit" fld="7" baseField="0"/>
  </dataFields>
</pivotTableDefinition>
</file>

<file path=xl/pivotTables/pivotTable2.xml><?xml version="1.0" encoding="utf-8"?>
<pivotTableDefinition xmlns="http://schemas.openxmlformats.org/spreadsheetml/2006/main" name="Pivot Table 5" cacheId="0" dataCaption="" compact="0" compactData="0">
  <location ref="A1:B5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al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3"/>
  </rowFields>
  <dataFields>
    <dataField name="SUM of Profit" fld="7" baseField="0"/>
  </dataFields>
</pivotTableDefinition>
</file>

<file path=xl/pivotTables/pivotTable3.xml><?xml version="1.0" encoding="utf-8"?>
<pivotTableDefinition xmlns="http://schemas.openxmlformats.org/spreadsheetml/2006/main" name="Pivot Table 4" cacheId="1" dataCaption="" compact="0" compactData="0">
  <location ref="A1:B1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 date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0"/>
  </rowFields>
  <dataFields>
    <dataField name="SUM of Sales" fld="5" baseField="0"/>
  </dataFields>
</pivotTableDefinition>
</file>

<file path=xl/pivotTables/pivotTable4.xml><?xml version="1.0" encoding="utf-8"?>
<pivotTableDefinition xmlns="http://schemas.openxmlformats.org/spreadsheetml/2006/main" name="Pivot Table 3" cacheId="0" dataCaption="" compact="0" compactData="0">
  <location ref="A1:B5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al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3"/>
  </rowFields>
  <dataFields>
    <dataField name="SUM of Profit" fld="7" baseField="0"/>
  </dataFields>
</pivotTableDefinition>
</file>

<file path=xl/pivotTables/pivotTable5.xml><?xml version="1.0" encoding="utf-8"?>
<pivotTableDefinition xmlns="http://schemas.openxmlformats.org/spreadsheetml/2006/main" name="Pivot Table 2" cacheId="0" dataCaption="" compact="0" compactData="0">
  <location ref="A1:B5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3"/>
  </rowFields>
  <dataFields>
    <dataField name="SUM of Sale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0.0"/>
    <col customWidth="1" min="4" max="5" width="18.0"/>
    <col customWidth="1" min="6" max="6" width="14.0"/>
    <col customWidth="1" min="7" max="7" width="12.0"/>
    <col customWidth="1" min="8" max="9" width="14.0"/>
    <col customWidth="1" min="10" max="10" width="16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45581.0</v>
      </c>
      <c r="C2" s="2" t="s">
        <v>11</v>
      </c>
      <c r="D2" s="2" t="s">
        <v>12</v>
      </c>
      <c r="E2" s="2" t="s">
        <v>13</v>
      </c>
      <c r="F2" s="4">
        <v>1117.49</v>
      </c>
      <c r="G2" s="2">
        <v>4.0</v>
      </c>
      <c r="H2" s="4">
        <v>-55.38</v>
      </c>
      <c r="I2" s="2" t="s">
        <v>14</v>
      </c>
      <c r="J2" s="2" t="s">
        <v>15</v>
      </c>
    </row>
    <row r="3">
      <c r="A3" s="2" t="s">
        <v>16</v>
      </c>
      <c r="B3" s="3">
        <v>45531.0</v>
      </c>
      <c r="C3" s="2" t="s">
        <v>17</v>
      </c>
      <c r="D3" s="2" t="s">
        <v>18</v>
      </c>
      <c r="E3" s="2" t="s">
        <v>19</v>
      </c>
      <c r="F3" s="4">
        <v>64.1</v>
      </c>
      <c r="G3" s="2">
        <v>4.0</v>
      </c>
      <c r="H3" s="4">
        <v>-2.9</v>
      </c>
      <c r="I3" s="2" t="s">
        <v>14</v>
      </c>
      <c r="J3" s="2" t="s">
        <v>20</v>
      </c>
    </row>
    <row r="4">
      <c r="A4" s="2" t="s">
        <v>21</v>
      </c>
      <c r="B4" s="3">
        <v>45592.0</v>
      </c>
      <c r="C4" s="2" t="s">
        <v>22</v>
      </c>
      <c r="D4" s="2" t="s">
        <v>23</v>
      </c>
      <c r="E4" s="2" t="s">
        <v>24</v>
      </c>
      <c r="F4" s="4">
        <v>346.25</v>
      </c>
      <c r="G4" s="2">
        <v>10.0</v>
      </c>
      <c r="H4" s="4">
        <v>-8.59</v>
      </c>
      <c r="I4" s="2" t="s">
        <v>25</v>
      </c>
      <c r="J4" s="2" t="s">
        <v>26</v>
      </c>
    </row>
    <row r="5">
      <c r="A5" s="2" t="s">
        <v>27</v>
      </c>
      <c r="B5" s="3">
        <v>45275.0</v>
      </c>
      <c r="C5" s="2" t="s">
        <v>28</v>
      </c>
      <c r="D5" s="2" t="s">
        <v>18</v>
      </c>
      <c r="E5" s="2" t="s">
        <v>29</v>
      </c>
      <c r="F5" s="4">
        <v>338.66</v>
      </c>
      <c r="G5" s="2">
        <v>6.0</v>
      </c>
      <c r="H5" s="4">
        <v>-35.22</v>
      </c>
      <c r="I5" s="2" t="s">
        <v>14</v>
      </c>
      <c r="J5" s="2" t="s">
        <v>30</v>
      </c>
    </row>
    <row r="6">
      <c r="A6" s="2" t="s">
        <v>31</v>
      </c>
      <c r="B6" s="3">
        <v>45279.0</v>
      </c>
      <c r="C6" s="2" t="s">
        <v>28</v>
      </c>
      <c r="D6" s="2" t="s">
        <v>23</v>
      </c>
      <c r="E6" s="2" t="s">
        <v>32</v>
      </c>
      <c r="F6" s="4">
        <v>1214.55</v>
      </c>
      <c r="G6" s="2">
        <v>8.0</v>
      </c>
      <c r="H6" s="4">
        <v>110.89</v>
      </c>
      <c r="I6" s="2" t="s">
        <v>14</v>
      </c>
      <c r="J6" s="2" t="s">
        <v>33</v>
      </c>
    </row>
    <row r="7">
      <c r="A7" s="2" t="s">
        <v>34</v>
      </c>
      <c r="B7" s="3">
        <v>45570.0</v>
      </c>
      <c r="C7" s="2" t="s">
        <v>35</v>
      </c>
      <c r="D7" s="2" t="s">
        <v>23</v>
      </c>
      <c r="E7" s="2" t="s">
        <v>32</v>
      </c>
      <c r="F7" s="4">
        <v>874.48</v>
      </c>
      <c r="G7" s="2">
        <v>2.0</v>
      </c>
      <c r="H7" s="4">
        <v>-113.14</v>
      </c>
      <c r="I7" s="2" t="s">
        <v>36</v>
      </c>
      <c r="J7" s="2" t="s">
        <v>15</v>
      </c>
    </row>
    <row r="8">
      <c r="A8" s="2" t="s">
        <v>37</v>
      </c>
      <c r="B8" s="3">
        <v>45165.0</v>
      </c>
      <c r="C8" s="2" t="s">
        <v>38</v>
      </c>
      <c r="D8" s="2" t="s">
        <v>12</v>
      </c>
      <c r="E8" s="2" t="s">
        <v>39</v>
      </c>
      <c r="F8" s="4">
        <v>431.4</v>
      </c>
      <c r="G8" s="2">
        <v>6.0</v>
      </c>
      <c r="H8" s="4">
        <v>-33.13</v>
      </c>
      <c r="I8" s="2" t="s">
        <v>25</v>
      </c>
      <c r="J8" s="2" t="s">
        <v>33</v>
      </c>
    </row>
    <row r="9">
      <c r="A9" s="2" t="s">
        <v>40</v>
      </c>
      <c r="B9" s="3">
        <v>45645.0</v>
      </c>
      <c r="C9" s="2" t="s">
        <v>35</v>
      </c>
      <c r="D9" s="2" t="s">
        <v>23</v>
      </c>
      <c r="E9" s="2" t="s">
        <v>41</v>
      </c>
      <c r="F9" s="4">
        <v>921.51</v>
      </c>
      <c r="G9" s="2">
        <v>3.0</v>
      </c>
      <c r="H9" s="4">
        <v>83.27</v>
      </c>
      <c r="I9" s="2" t="s">
        <v>25</v>
      </c>
      <c r="J9" s="2" t="s">
        <v>42</v>
      </c>
    </row>
    <row r="10">
      <c r="A10" s="2" t="s">
        <v>43</v>
      </c>
      <c r="B10" s="3">
        <v>45315.0</v>
      </c>
      <c r="C10" s="2" t="s">
        <v>22</v>
      </c>
      <c r="D10" s="2" t="s">
        <v>18</v>
      </c>
      <c r="E10" s="2" t="s">
        <v>44</v>
      </c>
      <c r="F10" s="4">
        <v>1038.48</v>
      </c>
      <c r="G10" s="2">
        <v>4.0</v>
      </c>
      <c r="H10" s="4">
        <v>164.16</v>
      </c>
      <c r="I10" s="2" t="s">
        <v>25</v>
      </c>
      <c r="J10" s="2" t="s">
        <v>45</v>
      </c>
    </row>
    <row r="11">
      <c r="A11" s="2" t="s">
        <v>46</v>
      </c>
      <c r="B11" s="3">
        <v>45250.0</v>
      </c>
      <c r="C11" s="2" t="s">
        <v>38</v>
      </c>
      <c r="D11" s="2" t="s">
        <v>18</v>
      </c>
      <c r="E11" s="2" t="s">
        <v>47</v>
      </c>
      <c r="F11" s="4">
        <v>117.96</v>
      </c>
      <c r="G11" s="2">
        <v>10.0</v>
      </c>
      <c r="H11" s="4">
        <v>28.83</v>
      </c>
      <c r="I11" s="2" t="s">
        <v>25</v>
      </c>
      <c r="J11" s="2" t="s">
        <v>42</v>
      </c>
    </row>
    <row r="12">
      <c r="A12" s="2" t="s">
        <v>48</v>
      </c>
      <c r="B12" s="3">
        <v>45332.0</v>
      </c>
      <c r="C12" s="2" t="s">
        <v>49</v>
      </c>
      <c r="D12" s="2" t="s">
        <v>23</v>
      </c>
      <c r="E12" s="2" t="s">
        <v>24</v>
      </c>
      <c r="F12" s="4">
        <v>231.45</v>
      </c>
      <c r="G12" s="2">
        <v>3.0</v>
      </c>
      <c r="H12" s="4">
        <v>-9.03</v>
      </c>
      <c r="I12" s="2" t="s">
        <v>36</v>
      </c>
      <c r="J12" s="2" t="s">
        <v>26</v>
      </c>
    </row>
    <row r="13">
      <c r="A13" s="2" t="s">
        <v>50</v>
      </c>
      <c r="B13" s="3">
        <v>45524.0</v>
      </c>
      <c r="C13" s="2" t="s">
        <v>51</v>
      </c>
      <c r="D13" s="2" t="s">
        <v>18</v>
      </c>
      <c r="E13" s="2" t="s">
        <v>47</v>
      </c>
      <c r="F13" s="4">
        <v>344.59</v>
      </c>
      <c r="G13" s="2">
        <v>3.0</v>
      </c>
      <c r="H13" s="4">
        <v>27.32</v>
      </c>
      <c r="I13" s="2" t="s">
        <v>14</v>
      </c>
      <c r="J13" s="2" t="s">
        <v>15</v>
      </c>
    </row>
    <row r="14">
      <c r="A14" s="2" t="s">
        <v>52</v>
      </c>
      <c r="B14" s="3">
        <v>45083.0</v>
      </c>
      <c r="C14" s="2" t="s">
        <v>28</v>
      </c>
      <c r="D14" s="2" t="s">
        <v>23</v>
      </c>
      <c r="E14" s="2" t="s">
        <v>53</v>
      </c>
      <c r="F14" s="4">
        <v>1192.28</v>
      </c>
      <c r="G14" s="2">
        <v>7.0</v>
      </c>
      <c r="H14" s="4">
        <v>141.15</v>
      </c>
      <c r="I14" s="2" t="s">
        <v>54</v>
      </c>
      <c r="J14" s="2" t="s">
        <v>42</v>
      </c>
    </row>
    <row r="15">
      <c r="A15" s="2" t="s">
        <v>55</v>
      </c>
      <c r="B15" s="3">
        <v>45468.0</v>
      </c>
      <c r="C15" s="2" t="s">
        <v>51</v>
      </c>
      <c r="D15" s="2" t="s">
        <v>18</v>
      </c>
      <c r="E15" s="2" t="s">
        <v>56</v>
      </c>
      <c r="F15" s="4">
        <v>1293.95</v>
      </c>
      <c r="G15" s="2">
        <v>1.0</v>
      </c>
      <c r="H15" s="4">
        <v>202.02</v>
      </c>
      <c r="I15" s="2" t="s">
        <v>36</v>
      </c>
      <c r="J15" s="2" t="s">
        <v>30</v>
      </c>
    </row>
    <row r="16">
      <c r="A16" s="2" t="s">
        <v>57</v>
      </c>
      <c r="B16" s="3">
        <v>45041.0</v>
      </c>
      <c r="C16" s="2" t="s">
        <v>11</v>
      </c>
      <c r="D16" s="2" t="s">
        <v>18</v>
      </c>
      <c r="E16" s="2" t="s">
        <v>58</v>
      </c>
      <c r="F16" s="4">
        <v>254.07</v>
      </c>
      <c r="G16" s="2">
        <v>1.0</v>
      </c>
      <c r="H16" s="4">
        <v>70.94</v>
      </c>
      <c r="I16" s="2" t="s">
        <v>36</v>
      </c>
      <c r="J16" s="2" t="s">
        <v>59</v>
      </c>
    </row>
    <row r="17">
      <c r="A17" s="2" t="s">
        <v>60</v>
      </c>
      <c r="B17" s="3">
        <v>45446.0</v>
      </c>
      <c r="C17" s="2" t="s">
        <v>61</v>
      </c>
      <c r="D17" s="2" t="s">
        <v>12</v>
      </c>
      <c r="E17" s="2" t="s">
        <v>62</v>
      </c>
      <c r="F17" s="4">
        <v>1265.67</v>
      </c>
      <c r="G17" s="2">
        <v>9.0</v>
      </c>
      <c r="H17" s="4">
        <v>156.99</v>
      </c>
      <c r="I17" s="2" t="s">
        <v>36</v>
      </c>
      <c r="J17" s="2" t="s">
        <v>59</v>
      </c>
    </row>
    <row r="18">
      <c r="A18" s="2" t="s">
        <v>63</v>
      </c>
      <c r="B18" s="3">
        <v>45479.0</v>
      </c>
      <c r="C18" s="2" t="s">
        <v>38</v>
      </c>
      <c r="D18" s="2" t="s">
        <v>23</v>
      </c>
      <c r="E18" s="2" t="s">
        <v>41</v>
      </c>
      <c r="F18" s="4">
        <v>906.44</v>
      </c>
      <c r="G18" s="2">
        <v>8.0</v>
      </c>
      <c r="H18" s="4">
        <v>-128.02</v>
      </c>
      <c r="I18" s="2" t="s">
        <v>36</v>
      </c>
      <c r="J18" s="2" t="s">
        <v>20</v>
      </c>
    </row>
    <row r="19">
      <c r="A19" s="2" t="s">
        <v>64</v>
      </c>
      <c r="B19" s="3">
        <v>44986.0</v>
      </c>
      <c r="C19" s="2" t="s">
        <v>49</v>
      </c>
      <c r="D19" s="2" t="s">
        <v>12</v>
      </c>
      <c r="E19" s="2" t="s">
        <v>13</v>
      </c>
      <c r="F19" s="4">
        <v>146.77</v>
      </c>
      <c r="G19" s="2">
        <v>8.0</v>
      </c>
      <c r="H19" s="4">
        <v>31.88</v>
      </c>
      <c r="I19" s="2" t="s">
        <v>25</v>
      </c>
      <c r="J19" s="2" t="s">
        <v>59</v>
      </c>
    </row>
    <row r="20">
      <c r="A20" s="2" t="s">
        <v>65</v>
      </c>
      <c r="B20" s="3">
        <v>45602.0</v>
      </c>
      <c r="C20" s="2" t="s">
        <v>28</v>
      </c>
      <c r="D20" s="2" t="s">
        <v>18</v>
      </c>
      <c r="E20" s="2" t="s">
        <v>56</v>
      </c>
      <c r="F20" s="4">
        <v>264.39</v>
      </c>
      <c r="G20" s="2">
        <v>9.0</v>
      </c>
      <c r="H20" s="4">
        <v>64.14</v>
      </c>
      <c r="I20" s="2" t="s">
        <v>25</v>
      </c>
      <c r="J20" s="2" t="s">
        <v>20</v>
      </c>
    </row>
    <row r="21" ht="15.75" customHeight="1">
      <c r="A21" s="2" t="s">
        <v>66</v>
      </c>
      <c r="B21" s="3">
        <v>45246.0</v>
      </c>
      <c r="C21" s="2" t="s">
        <v>67</v>
      </c>
      <c r="D21" s="2" t="s">
        <v>18</v>
      </c>
      <c r="E21" s="2" t="s">
        <v>44</v>
      </c>
      <c r="F21" s="4">
        <v>981.82</v>
      </c>
      <c r="G21" s="2">
        <v>8.0</v>
      </c>
      <c r="H21" s="4">
        <v>250.19</v>
      </c>
      <c r="I21" s="2" t="s">
        <v>14</v>
      </c>
      <c r="J21" s="2" t="s">
        <v>20</v>
      </c>
    </row>
    <row r="22" ht="15.75" customHeight="1">
      <c r="A22" s="2" t="s">
        <v>68</v>
      </c>
      <c r="B22" s="3">
        <v>45157.0</v>
      </c>
      <c r="C22" s="2" t="s">
        <v>35</v>
      </c>
      <c r="D22" s="2" t="s">
        <v>12</v>
      </c>
      <c r="E22" s="2" t="s">
        <v>62</v>
      </c>
      <c r="F22" s="4">
        <v>51.13</v>
      </c>
      <c r="G22" s="2">
        <v>9.0</v>
      </c>
      <c r="H22" s="4">
        <v>-2.37</v>
      </c>
      <c r="I22" s="2" t="s">
        <v>14</v>
      </c>
      <c r="J22" s="2" t="s">
        <v>15</v>
      </c>
    </row>
    <row r="23" ht="15.75" customHeight="1">
      <c r="A23" s="2" t="s">
        <v>69</v>
      </c>
      <c r="B23" s="3">
        <v>45651.0</v>
      </c>
      <c r="C23" s="2" t="s">
        <v>51</v>
      </c>
      <c r="D23" s="2" t="s">
        <v>23</v>
      </c>
      <c r="E23" s="2" t="s">
        <v>41</v>
      </c>
      <c r="F23" s="4">
        <v>358.83</v>
      </c>
      <c r="G23" s="2">
        <v>1.0</v>
      </c>
      <c r="H23" s="4">
        <v>84.98</v>
      </c>
      <c r="I23" s="2" t="s">
        <v>25</v>
      </c>
      <c r="J23" s="2" t="s">
        <v>33</v>
      </c>
    </row>
    <row r="24" ht="15.75" customHeight="1">
      <c r="A24" s="2" t="s">
        <v>70</v>
      </c>
      <c r="B24" s="3">
        <v>45612.0</v>
      </c>
      <c r="C24" s="2" t="s">
        <v>35</v>
      </c>
      <c r="D24" s="2" t="s">
        <v>18</v>
      </c>
      <c r="E24" s="2" t="s">
        <v>29</v>
      </c>
      <c r="F24" s="4">
        <v>818.07</v>
      </c>
      <c r="G24" s="2">
        <v>10.0</v>
      </c>
      <c r="H24" s="4">
        <v>89.41</v>
      </c>
      <c r="I24" s="2" t="s">
        <v>54</v>
      </c>
      <c r="J24" s="2" t="s">
        <v>26</v>
      </c>
    </row>
    <row r="25" ht="15.75" customHeight="1">
      <c r="A25" s="2" t="s">
        <v>71</v>
      </c>
      <c r="B25" s="3">
        <v>45121.0</v>
      </c>
      <c r="C25" s="2" t="s">
        <v>67</v>
      </c>
      <c r="D25" s="2" t="s">
        <v>12</v>
      </c>
      <c r="E25" s="2" t="s">
        <v>13</v>
      </c>
      <c r="F25" s="4">
        <v>995.29</v>
      </c>
      <c r="G25" s="2">
        <v>6.0</v>
      </c>
      <c r="H25" s="4">
        <v>40.42</v>
      </c>
      <c r="I25" s="2" t="s">
        <v>14</v>
      </c>
      <c r="J25" s="2" t="s">
        <v>15</v>
      </c>
    </row>
    <row r="26" ht="15.75" customHeight="1">
      <c r="A26" s="2" t="s">
        <v>72</v>
      </c>
      <c r="B26" s="3">
        <v>44989.0</v>
      </c>
      <c r="C26" s="2" t="s">
        <v>35</v>
      </c>
      <c r="D26" s="2" t="s">
        <v>18</v>
      </c>
      <c r="E26" s="2" t="s">
        <v>44</v>
      </c>
      <c r="F26" s="4">
        <v>522.17</v>
      </c>
      <c r="G26" s="2">
        <v>2.0</v>
      </c>
      <c r="H26" s="4">
        <v>-19.9</v>
      </c>
      <c r="I26" s="2" t="s">
        <v>54</v>
      </c>
      <c r="J26" s="2" t="s">
        <v>59</v>
      </c>
    </row>
    <row r="27" ht="15.75" customHeight="1">
      <c r="A27" s="2" t="s">
        <v>73</v>
      </c>
      <c r="B27" s="3">
        <v>45359.0</v>
      </c>
      <c r="C27" s="2" t="s">
        <v>49</v>
      </c>
      <c r="D27" s="2" t="s">
        <v>12</v>
      </c>
      <c r="E27" s="2" t="s">
        <v>62</v>
      </c>
      <c r="F27" s="4">
        <v>704.69</v>
      </c>
      <c r="G27" s="2">
        <v>2.0</v>
      </c>
      <c r="H27" s="4">
        <v>34.82</v>
      </c>
      <c r="I27" s="2" t="s">
        <v>14</v>
      </c>
      <c r="J27" s="2" t="s">
        <v>45</v>
      </c>
    </row>
    <row r="28" ht="15.75" customHeight="1">
      <c r="A28" s="2" t="s">
        <v>74</v>
      </c>
      <c r="B28" s="3">
        <v>45594.0</v>
      </c>
      <c r="C28" s="2" t="s">
        <v>67</v>
      </c>
      <c r="D28" s="2" t="s">
        <v>23</v>
      </c>
      <c r="E28" s="2" t="s">
        <v>41</v>
      </c>
      <c r="F28" s="4">
        <v>1454.11</v>
      </c>
      <c r="G28" s="2">
        <v>4.0</v>
      </c>
      <c r="H28" s="4">
        <v>-109.29</v>
      </c>
      <c r="I28" s="2" t="s">
        <v>54</v>
      </c>
      <c r="J28" s="2" t="s">
        <v>20</v>
      </c>
    </row>
    <row r="29" ht="15.75" customHeight="1">
      <c r="A29" s="2" t="s">
        <v>75</v>
      </c>
      <c r="B29" s="3">
        <v>45337.0</v>
      </c>
      <c r="C29" s="2" t="s">
        <v>67</v>
      </c>
      <c r="D29" s="2" t="s">
        <v>12</v>
      </c>
      <c r="E29" s="2" t="s">
        <v>76</v>
      </c>
      <c r="F29" s="4">
        <v>580.88</v>
      </c>
      <c r="G29" s="2">
        <v>7.0</v>
      </c>
      <c r="H29" s="4">
        <v>-17.81</v>
      </c>
      <c r="I29" s="2" t="s">
        <v>36</v>
      </c>
      <c r="J29" s="2" t="s">
        <v>26</v>
      </c>
    </row>
    <row r="30" ht="15.75" customHeight="1">
      <c r="A30" s="2" t="s">
        <v>77</v>
      </c>
      <c r="B30" s="3">
        <v>45640.0</v>
      </c>
      <c r="C30" s="2" t="s">
        <v>22</v>
      </c>
      <c r="D30" s="2" t="s">
        <v>23</v>
      </c>
      <c r="E30" s="2" t="s">
        <v>24</v>
      </c>
      <c r="F30" s="4">
        <v>249.1</v>
      </c>
      <c r="G30" s="2">
        <v>5.0</v>
      </c>
      <c r="H30" s="4">
        <v>-12.96</v>
      </c>
      <c r="I30" s="2" t="s">
        <v>14</v>
      </c>
      <c r="J30" s="2" t="s">
        <v>30</v>
      </c>
    </row>
    <row r="31" ht="15.75" customHeight="1">
      <c r="A31" s="2" t="s">
        <v>78</v>
      </c>
      <c r="B31" s="3">
        <v>44985.0</v>
      </c>
      <c r="C31" s="2" t="s">
        <v>49</v>
      </c>
      <c r="D31" s="2" t="s">
        <v>12</v>
      </c>
      <c r="E31" s="2" t="s">
        <v>39</v>
      </c>
      <c r="F31" s="4">
        <v>764.22</v>
      </c>
      <c r="G31" s="2">
        <v>9.0</v>
      </c>
      <c r="H31" s="4">
        <v>-60.49</v>
      </c>
      <c r="I31" s="2" t="s">
        <v>14</v>
      </c>
      <c r="J31" s="2" t="s">
        <v>59</v>
      </c>
    </row>
    <row r="32" ht="15.75" customHeight="1">
      <c r="A32" s="2" t="s">
        <v>79</v>
      </c>
      <c r="B32" s="3">
        <v>44997.0</v>
      </c>
      <c r="C32" s="2" t="s">
        <v>17</v>
      </c>
      <c r="D32" s="2" t="s">
        <v>23</v>
      </c>
      <c r="E32" s="2" t="s">
        <v>41</v>
      </c>
      <c r="F32" s="4">
        <v>1019.31</v>
      </c>
      <c r="G32" s="2">
        <v>4.0</v>
      </c>
      <c r="H32" s="4">
        <v>32.31</v>
      </c>
      <c r="I32" s="2" t="s">
        <v>25</v>
      </c>
      <c r="J32" s="2" t="s">
        <v>45</v>
      </c>
    </row>
    <row r="33" ht="15.75" customHeight="1">
      <c r="A33" s="2" t="s">
        <v>80</v>
      </c>
      <c r="B33" s="3">
        <v>45561.0</v>
      </c>
      <c r="C33" s="2" t="s">
        <v>81</v>
      </c>
      <c r="D33" s="2" t="s">
        <v>12</v>
      </c>
      <c r="E33" s="2" t="s">
        <v>39</v>
      </c>
      <c r="F33" s="4">
        <v>992.91</v>
      </c>
      <c r="G33" s="2">
        <v>10.0</v>
      </c>
      <c r="H33" s="4">
        <v>84.65</v>
      </c>
      <c r="I33" s="2" t="s">
        <v>25</v>
      </c>
      <c r="J33" s="2" t="s">
        <v>30</v>
      </c>
    </row>
    <row r="34" ht="15.75" customHeight="1">
      <c r="A34" s="2" t="s">
        <v>82</v>
      </c>
      <c r="B34" s="3">
        <v>45171.0</v>
      </c>
      <c r="C34" s="2" t="s">
        <v>51</v>
      </c>
      <c r="D34" s="2" t="s">
        <v>18</v>
      </c>
      <c r="E34" s="2" t="s">
        <v>58</v>
      </c>
      <c r="F34" s="4">
        <v>213.7</v>
      </c>
      <c r="G34" s="2">
        <v>5.0</v>
      </c>
      <c r="H34" s="4">
        <v>11.91</v>
      </c>
      <c r="I34" s="2" t="s">
        <v>14</v>
      </c>
      <c r="J34" s="2" t="s">
        <v>42</v>
      </c>
    </row>
    <row r="35" ht="15.75" customHeight="1">
      <c r="A35" s="2" t="s">
        <v>83</v>
      </c>
      <c r="B35" s="3">
        <v>45563.0</v>
      </c>
      <c r="C35" s="2" t="s">
        <v>61</v>
      </c>
      <c r="D35" s="2" t="s">
        <v>23</v>
      </c>
      <c r="E35" s="2" t="s">
        <v>41</v>
      </c>
      <c r="F35" s="4">
        <v>128.43</v>
      </c>
      <c r="G35" s="2">
        <v>4.0</v>
      </c>
      <c r="H35" s="4">
        <v>9.97</v>
      </c>
      <c r="I35" s="2" t="s">
        <v>36</v>
      </c>
      <c r="J35" s="2" t="s">
        <v>15</v>
      </c>
    </row>
    <row r="36" ht="15.75" customHeight="1">
      <c r="A36" s="2" t="s">
        <v>84</v>
      </c>
      <c r="B36" s="3">
        <v>45177.0</v>
      </c>
      <c r="C36" s="2" t="s">
        <v>17</v>
      </c>
      <c r="D36" s="2" t="s">
        <v>18</v>
      </c>
      <c r="E36" s="2" t="s">
        <v>47</v>
      </c>
      <c r="F36" s="4">
        <v>253.47</v>
      </c>
      <c r="G36" s="2">
        <v>9.0</v>
      </c>
      <c r="H36" s="4">
        <v>42.23</v>
      </c>
      <c r="I36" s="2" t="s">
        <v>14</v>
      </c>
      <c r="J36" s="2" t="s">
        <v>33</v>
      </c>
    </row>
    <row r="37" ht="15.75" customHeight="1">
      <c r="A37" s="2" t="s">
        <v>85</v>
      </c>
      <c r="B37" s="3">
        <v>45606.0</v>
      </c>
      <c r="C37" s="2" t="s">
        <v>61</v>
      </c>
      <c r="D37" s="2" t="s">
        <v>12</v>
      </c>
      <c r="E37" s="2" t="s">
        <v>76</v>
      </c>
      <c r="F37" s="4">
        <v>411.41</v>
      </c>
      <c r="G37" s="2">
        <v>2.0</v>
      </c>
      <c r="H37" s="4">
        <v>75.74</v>
      </c>
      <c r="I37" s="2" t="s">
        <v>36</v>
      </c>
      <c r="J37" s="2" t="s">
        <v>33</v>
      </c>
    </row>
    <row r="38" ht="15.75" customHeight="1">
      <c r="A38" s="2" t="s">
        <v>86</v>
      </c>
      <c r="B38" s="3">
        <v>45546.0</v>
      </c>
      <c r="C38" s="2" t="s">
        <v>81</v>
      </c>
      <c r="D38" s="2" t="s">
        <v>12</v>
      </c>
      <c r="E38" s="2" t="s">
        <v>62</v>
      </c>
      <c r="F38" s="4">
        <v>321.32</v>
      </c>
      <c r="G38" s="2">
        <v>5.0</v>
      </c>
      <c r="H38" s="4">
        <v>24.88</v>
      </c>
      <c r="I38" s="2" t="s">
        <v>14</v>
      </c>
      <c r="J38" s="2" t="s">
        <v>15</v>
      </c>
    </row>
    <row r="39" ht="15.75" customHeight="1">
      <c r="A39" s="2" t="s">
        <v>87</v>
      </c>
      <c r="B39" s="3">
        <v>45576.0</v>
      </c>
      <c r="C39" s="2" t="s">
        <v>88</v>
      </c>
      <c r="D39" s="2" t="s">
        <v>18</v>
      </c>
      <c r="E39" s="2" t="s">
        <v>47</v>
      </c>
      <c r="F39" s="4">
        <v>85.25</v>
      </c>
      <c r="G39" s="2">
        <v>6.0</v>
      </c>
      <c r="H39" s="4">
        <v>16.79</v>
      </c>
      <c r="I39" s="2" t="s">
        <v>36</v>
      </c>
      <c r="J39" s="2" t="s">
        <v>59</v>
      </c>
    </row>
    <row r="40" ht="15.75" customHeight="1">
      <c r="A40" s="2" t="s">
        <v>89</v>
      </c>
      <c r="B40" s="3">
        <v>45379.0</v>
      </c>
      <c r="C40" s="2" t="s">
        <v>11</v>
      </c>
      <c r="D40" s="2" t="s">
        <v>23</v>
      </c>
      <c r="E40" s="2" t="s">
        <v>24</v>
      </c>
      <c r="F40" s="4">
        <v>850.14</v>
      </c>
      <c r="G40" s="2">
        <v>2.0</v>
      </c>
      <c r="H40" s="4">
        <v>-98.74</v>
      </c>
      <c r="I40" s="2" t="s">
        <v>25</v>
      </c>
      <c r="J40" s="2" t="s">
        <v>45</v>
      </c>
    </row>
    <row r="41" ht="15.75" customHeight="1">
      <c r="A41" s="2" t="s">
        <v>90</v>
      </c>
      <c r="B41" s="3">
        <v>45305.0</v>
      </c>
      <c r="C41" s="2" t="s">
        <v>22</v>
      </c>
      <c r="D41" s="2" t="s">
        <v>23</v>
      </c>
      <c r="E41" s="2" t="s">
        <v>53</v>
      </c>
      <c r="F41" s="4">
        <v>656.08</v>
      </c>
      <c r="G41" s="2">
        <v>1.0</v>
      </c>
      <c r="H41" s="4">
        <v>-7.4</v>
      </c>
      <c r="I41" s="2" t="s">
        <v>36</v>
      </c>
      <c r="J41" s="2" t="s">
        <v>20</v>
      </c>
    </row>
    <row r="42" ht="15.75" customHeight="1">
      <c r="A42" s="2" t="s">
        <v>91</v>
      </c>
      <c r="B42" s="3">
        <v>45625.0</v>
      </c>
      <c r="C42" s="2" t="s">
        <v>28</v>
      </c>
      <c r="D42" s="2" t="s">
        <v>12</v>
      </c>
      <c r="E42" s="2" t="s">
        <v>13</v>
      </c>
      <c r="F42" s="4">
        <v>543.44</v>
      </c>
      <c r="G42" s="2">
        <v>9.0</v>
      </c>
      <c r="H42" s="4">
        <v>134.7</v>
      </c>
      <c r="I42" s="2" t="s">
        <v>25</v>
      </c>
      <c r="J42" s="2" t="s">
        <v>20</v>
      </c>
    </row>
    <row r="43" ht="15.75" customHeight="1">
      <c r="A43" s="2" t="s">
        <v>92</v>
      </c>
      <c r="B43" s="3">
        <v>45093.0</v>
      </c>
      <c r="C43" s="2" t="s">
        <v>28</v>
      </c>
      <c r="D43" s="2" t="s">
        <v>12</v>
      </c>
      <c r="E43" s="2" t="s">
        <v>39</v>
      </c>
      <c r="F43" s="4">
        <v>56.68</v>
      </c>
      <c r="G43" s="2">
        <v>6.0</v>
      </c>
      <c r="H43" s="4">
        <v>11.45</v>
      </c>
      <c r="I43" s="2" t="s">
        <v>25</v>
      </c>
      <c r="J43" s="2" t="s">
        <v>33</v>
      </c>
    </row>
    <row r="44" ht="15.75" customHeight="1">
      <c r="A44" s="2" t="s">
        <v>93</v>
      </c>
      <c r="B44" s="3">
        <v>45090.0</v>
      </c>
      <c r="C44" s="2" t="s">
        <v>35</v>
      </c>
      <c r="D44" s="2" t="s">
        <v>23</v>
      </c>
      <c r="E44" s="2" t="s">
        <v>41</v>
      </c>
      <c r="F44" s="4">
        <v>586.16</v>
      </c>
      <c r="G44" s="2">
        <v>1.0</v>
      </c>
      <c r="H44" s="4">
        <v>138.55</v>
      </c>
      <c r="I44" s="2" t="s">
        <v>25</v>
      </c>
      <c r="J44" s="2" t="s">
        <v>42</v>
      </c>
    </row>
    <row r="45" ht="15.75" customHeight="1">
      <c r="A45" s="2" t="s">
        <v>94</v>
      </c>
      <c r="B45" s="3">
        <v>45285.0</v>
      </c>
      <c r="C45" s="2" t="s">
        <v>81</v>
      </c>
      <c r="D45" s="2" t="s">
        <v>18</v>
      </c>
      <c r="E45" s="2" t="s">
        <v>29</v>
      </c>
      <c r="F45" s="4">
        <v>349.93</v>
      </c>
      <c r="G45" s="2">
        <v>4.0</v>
      </c>
      <c r="H45" s="4">
        <v>10.26</v>
      </c>
      <c r="I45" s="2" t="s">
        <v>14</v>
      </c>
      <c r="J45" s="2" t="s">
        <v>33</v>
      </c>
    </row>
    <row r="46" ht="15.75" customHeight="1">
      <c r="A46" s="2" t="s">
        <v>95</v>
      </c>
      <c r="B46" s="3">
        <v>45286.0</v>
      </c>
      <c r="C46" s="2" t="s">
        <v>22</v>
      </c>
      <c r="D46" s="2" t="s">
        <v>23</v>
      </c>
      <c r="E46" s="2" t="s">
        <v>24</v>
      </c>
      <c r="F46" s="4">
        <v>1025.69</v>
      </c>
      <c r="G46" s="2">
        <v>9.0</v>
      </c>
      <c r="H46" s="4">
        <v>-1.01</v>
      </c>
      <c r="I46" s="2" t="s">
        <v>14</v>
      </c>
      <c r="J46" s="2" t="s">
        <v>33</v>
      </c>
    </row>
    <row r="47" ht="15.75" customHeight="1">
      <c r="A47" s="2" t="s">
        <v>96</v>
      </c>
      <c r="B47" s="3">
        <v>45109.0</v>
      </c>
      <c r="C47" s="2" t="s">
        <v>11</v>
      </c>
      <c r="D47" s="2" t="s">
        <v>23</v>
      </c>
      <c r="E47" s="2" t="s">
        <v>32</v>
      </c>
      <c r="F47" s="4">
        <v>76.62</v>
      </c>
      <c r="G47" s="2">
        <v>10.0</v>
      </c>
      <c r="H47" s="4">
        <v>3.49</v>
      </c>
      <c r="I47" s="2" t="s">
        <v>36</v>
      </c>
      <c r="J47" s="2" t="s">
        <v>26</v>
      </c>
    </row>
    <row r="48" ht="15.75" customHeight="1">
      <c r="A48" s="2" t="s">
        <v>97</v>
      </c>
      <c r="B48" s="3">
        <v>45547.0</v>
      </c>
      <c r="C48" s="2" t="s">
        <v>22</v>
      </c>
      <c r="D48" s="2" t="s">
        <v>23</v>
      </c>
      <c r="E48" s="2" t="s">
        <v>41</v>
      </c>
      <c r="F48" s="4">
        <v>590.09</v>
      </c>
      <c r="G48" s="2">
        <v>10.0</v>
      </c>
      <c r="H48" s="4">
        <v>-38.04</v>
      </c>
      <c r="I48" s="2" t="s">
        <v>54</v>
      </c>
      <c r="J48" s="2" t="s">
        <v>45</v>
      </c>
    </row>
    <row r="49" ht="15.75" customHeight="1">
      <c r="A49" s="2" t="s">
        <v>98</v>
      </c>
      <c r="B49" s="3">
        <v>45459.0</v>
      </c>
      <c r="C49" s="2" t="s">
        <v>38</v>
      </c>
      <c r="D49" s="2" t="s">
        <v>23</v>
      </c>
      <c r="E49" s="2" t="s">
        <v>53</v>
      </c>
      <c r="F49" s="4">
        <v>559.05</v>
      </c>
      <c r="G49" s="2">
        <v>2.0</v>
      </c>
      <c r="H49" s="4">
        <v>154.85</v>
      </c>
      <c r="I49" s="2" t="s">
        <v>36</v>
      </c>
      <c r="J49" s="2" t="s">
        <v>15</v>
      </c>
    </row>
    <row r="50" ht="15.75" customHeight="1">
      <c r="A50" s="2" t="s">
        <v>99</v>
      </c>
      <c r="B50" s="3">
        <v>45234.0</v>
      </c>
      <c r="C50" s="2" t="s">
        <v>81</v>
      </c>
      <c r="D50" s="2" t="s">
        <v>23</v>
      </c>
      <c r="E50" s="2" t="s">
        <v>32</v>
      </c>
      <c r="F50" s="4">
        <v>1007.0</v>
      </c>
      <c r="G50" s="2">
        <v>6.0</v>
      </c>
      <c r="H50" s="4">
        <v>31.3</v>
      </c>
      <c r="I50" s="2" t="s">
        <v>25</v>
      </c>
      <c r="J50" s="2" t="s">
        <v>20</v>
      </c>
    </row>
    <row r="51" ht="15.75" customHeight="1">
      <c r="A51" s="2" t="s">
        <v>101</v>
      </c>
      <c r="B51" s="3">
        <v>45357.0</v>
      </c>
      <c r="C51" s="2" t="s">
        <v>81</v>
      </c>
      <c r="D51" s="2" t="s">
        <v>23</v>
      </c>
      <c r="E51" s="2" t="s">
        <v>24</v>
      </c>
      <c r="F51" s="4">
        <v>1022.43</v>
      </c>
      <c r="G51" s="2">
        <v>3.0</v>
      </c>
      <c r="H51" s="4">
        <v>129.83</v>
      </c>
      <c r="I51" s="2" t="s">
        <v>54</v>
      </c>
      <c r="J51" s="2" t="s">
        <v>45</v>
      </c>
    </row>
    <row r="52" ht="15.75" customHeight="1">
      <c r="A52" s="2" t="s">
        <v>102</v>
      </c>
      <c r="B52" s="3">
        <v>45238.0</v>
      </c>
      <c r="C52" s="2" t="s">
        <v>38</v>
      </c>
      <c r="D52" s="2" t="s">
        <v>18</v>
      </c>
      <c r="E52" s="2" t="s">
        <v>29</v>
      </c>
      <c r="F52" s="4">
        <v>656.23</v>
      </c>
      <c r="G52" s="2">
        <v>10.0</v>
      </c>
      <c r="H52" s="4">
        <v>80.71</v>
      </c>
      <c r="I52" s="2" t="s">
        <v>54</v>
      </c>
      <c r="J52" s="2" t="s">
        <v>42</v>
      </c>
    </row>
    <row r="53" ht="15.75" customHeight="1">
      <c r="A53" s="2" t="s">
        <v>104</v>
      </c>
      <c r="B53" s="3">
        <v>45379.0</v>
      </c>
      <c r="C53" s="2" t="s">
        <v>81</v>
      </c>
      <c r="D53" s="2" t="s">
        <v>23</v>
      </c>
      <c r="E53" s="2" t="s">
        <v>53</v>
      </c>
      <c r="F53" s="4">
        <v>776.54</v>
      </c>
      <c r="G53" s="2">
        <v>3.0</v>
      </c>
      <c r="H53" s="4">
        <v>113.75</v>
      </c>
      <c r="I53" s="2" t="s">
        <v>36</v>
      </c>
      <c r="J53" s="2" t="s">
        <v>15</v>
      </c>
    </row>
    <row r="54" ht="15.75" customHeight="1">
      <c r="A54" s="2" t="s">
        <v>105</v>
      </c>
      <c r="B54" s="3">
        <v>45167.0</v>
      </c>
      <c r="C54" s="2" t="s">
        <v>22</v>
      </c>
      <c r="D54" s="2" t="s">
        <v>23</v>
      </c>
      <c r="E54" s="2" t="s">
        <v>32</v>
      </c>
      <c r="F54" s="4">
        <v>352.47</v>
      </c>
      <c r="G54" s="2">
        <v>4.0</v>
      </c>
      <c r="H54" s="4">
        <v>-29.5</v>
      </c>
      <c r="I54" s="2" t="s">
        <v>25</v>
      </c>
      <c r="J54" s="2" t="s">
        <v>42</v>
      </c>
    </row>
    <row r="55" ht="15.75" customHeight="1">
      <c r="A55" s="2" t="s">
        <v>106</v>
      </c>
      <c r="B55" s="3">
        <v>45552.0</v>
      </c>
      <c r="C55" s="2" t="s">
        <v>11</v>
      </c>
      <c r="D55" s="2" t="s">
        <v>12</v>
      </c>
      <c r="E55" s="2" t="s">
        <v>39</v>
      </c>
      <c r="F55" s="4">
        <v>633.37</v>
      </c>
      <c r="G55" s="2">
        <v>10.0</v>
      </c>
      <c r="H55" s="4">
        <v>-39.59</v>
      </c>
      <c r="I55" s="2" t="s">
        <v>54</v>
      </c>
      <c r="J55" s="2" t="s">
        <v>42</v>
      </c>
    </row>
    <row r="56" ht="15.75" customHeight="1">
      <c r="A56" s="2" t="s">
        <v>107</v>
      </c>
      <c r="B56" s="3">
        <v>45336.0</v>
      </c>
      <c r="C56" s="2" t="s">
        <v>51</v>
      </c>
      <c r="D56" s="2" t="s">
        <v>12</v>
      </c>
      <c r="E56" s="2" t="s">
        <v>76</v>
      </c>
      <c r="F56" s="4">
        <v>990.97</v>
      </c>
      <c r="G56" s="2">
        <v>1.0</v>
      </c>
      <c r="H56" s="4">
        <v>249.42</v>
      </c>
      <c r="I56" s="2" t="s">
        <v>54</v>
      </c>
      <c r="J56" s="2" t="s">
        <v>20</v>
      </c>
    </row>
    <row r="57" ht="15.75" customHeight="1">
      <c r="A57" s="2" t="s">
        <v>108</v>
      </c>
      <c r="B57" s="3">
        <v>45107.0</v>
      </c>
      <c r="C57" s="2" t="s">
        <v>51</v>
      </c>
      <c r="D57" s="2" t="s">
        <v>23</v>
      </c>
      <c r="E57" s="2" t="s">
        <v>24</v>
      </c>
      <c r="F57" s="4">
        <v>94.32</v>
      </c>
      <c r="G57" s="2">
        <v>4.0</v>
      </c>
      <c r="H57" s="4">
        <v>24.79</v>
      </c>
      <c r="I57" s="2" t="s">
        <v>54</v>
      </c>
      <c r="J57" s="2" t="s">
        <v>59</v>
      </c>
    </row>
    <row r="58" ht="15.75" customHeight="1">
      <c r="A58" s="2" t="s">
        <v>109</v>
      </c>
      <c r="B58" s="3">
        <v>45402.0</v>
      </c>
      <c r="C58" s="2" t="s">
        <v>11</v>
      </c>
      <c r="D58" s="2" t="s">
        <v>23</v>
      </c>
      <c r="E58" s="2" t="s">
        <v>32</v>
      </c>
      <c r="F58" s="4">
        <v>1426.06</v>
      </c>
      <c r="G58" s="2">
        <v>8.0</v>
      </c>
      <c r="H58" s="4">
        <v>179.25</v>
      </c>
      <c r="I58" s="2" t="s">
        <v>54</v>
      </c>
      <c r="J58" s="2" t="s">
        <v>42</v>
      </c>
    </row>
    <row r="59" ht="15.75" customHeight="1">
      <c r="A59" s="2" t="s">
        <v>110</v>
      </c>
      <c r="B59" s="3">
        <v>45089.0</v>
      </c>
      <c r="C59" s="2" t="s">
        <v>81</v>
      </c>
      <c r="D59" s="2" t="s">
        <v>23</v>
      </c>
      <c r="E59" s="2" t="s">
        <v>24</v>
      </c>
      <c r="F59" s="4">
        <v>686.1</v>
      </c>
      <c r="G59" s="2">
        <v>4.0</v>
      </c>
      <c r="H59" s="4">
        <v>156.39</v>
      </c>
      <c r="I59" s="2" t="s">
        <v>54</v>
      </c>
      <c r="J59" s="2" t="s">
        <v>20</v>
      </c>
    </row>
    <row r="60" ht="15.75" customHeight="1">
      <c r="A60" s="2" t="s">
        <v>111</v>
      </c>
      <c r="B60" s="3">
        <v>45208.0</v>
      </c>
      <c r="C60" s="2" t="s">
        <v>38</v>
      </c>
      <c r="D60" s="2" t="s">
        <v>18</v>
      </c>
      <c r="E60" s="2" t="s">
        <v>19</v>
      </c>
      <c r="F60" s="4">
        <v>1076.05</v>
      </c>
      <c r="G60" s="2">
        <v>4.0</v>
      </c>
      <c r="H60" s="4">
        <v>-29.84</v>
      </c>
      <c r="I60" s="2" t="s">
        <v>14</v>
      </c>
      <c r="J60" s="2" t="s">
        <v>59</v>
      </c>
    </row>
    <row r="61" ht="15.75" customHeight="1">
      <c r="A61" s="2" t="s">
        <v>112</v>
      </c>
      <c r="B61" s="3">
        <v>45081.0</v>
      </c>
      <c r="C61" s="2" t="s">
        <v>28</v>
      </c>
      <c r="D61" s="2" t="s">
        <v>12</v>
      </c>
      <c r="E61" s="2" t="s">
        <v>39</v>
      </c>
      <c r="F61" s="4">
        <v>1047.05</v>
      </c>
      <c r="G61" s="2">
        <v>4.0</v>
      </c>
      <c r="H61" s="4">
        <v>-126.79</v>
      </c>
      <c r="I61" s="2" t="s">
        <v>36</v>
      </c>
      <c r="J61" s="2" t="s">
        <v>42</v>
      </c>
    </row>
    <row r="62" ht="15.75" customHeight="1">
      <c r="A62" s="2" t="s">
        <v>113</v>
      </c>
      <c r="B62" s="3">
        <v>45352.0</v>
      </c>
      <c r="C62" s="2" t="s">
        <v>17</v>
      </c>
      <c r="D62" s="2" t="s">
        <v>12</v>
      </c>
      <c r="E62" s="2" t="s">
        <v>76</v>
      </c>
      <c r="F62" s="4">
        <v>1252.68</v>
      </c>
      <c r="G62" s="2">
        <v>7.0</v>
      </c>
      <c r="H62" s="4">
        <v>322.16</v>
      </c>
      <c r="I62" s="2" t="s">
        <v>14</v>
      </c>
      <c r="J62" s="2" t="s">
        <v>26</v>
      </c>
    </row>
    <row r="63" ht="15.75" customHeight="1">
      <c r="A63" s="2" t="s">
        <v>114</v>
      </c>
      <c r="B63" s="3">
        <v>45415.0</v>
      </c>
      <c r="C63" s="2" t="s">
        <v>28</v>
      </c>
      <c r="D63" s="2" t="s">
        <v>12</v>
      </c>
      <c r="E63" s="2" t="s">
        <v>62</v>
      </c>
      <c r="F63" s="4">
        <v>461.95</v>
      </c>
      <c r="G63" s="2">
        <v>7.0</v>
      </c>
      <c r="H63" s="4">
        <v>108.12</v>
      </c>
      <c r="I63" s="2" t="s">
        <v>25</v>
      </c>
      <c r="J63" s="2" t="s">
        <v>42</v>
      </c>
    </row>
    <row r="64" ht="15.75" customHeight="1">
      <c r="A64" s="2" t="s">
        <v>115</v>
      </c>
      <c r="B64" s="3">
        <v>45151.0</v>
      </c>
      <c r="C64" s="2" t="s">
        <v>88</v>
      </c>
      <c r="D64" s="2" t="s">
        <v>18</v>
      </c>
      <c r="E64" s="2" t="s">
        <v>58</v>
      </c>
      <c r="F64" s="4">
        <v>738.75</v>
      </c>
      <c r="G64" s="2">
        <v>7.0</v>
      </c>
      <c r="H64" s="4">
        <v>0.93</v>
      </c>
      <c r="I64" s="2" t="s">
        <v>54</v>
      </c>
      <c r="J64" s="2" t="s">
        <v>59</v>
      </c>
    </row>
    <row r="65" ht="15.75" customHeight="1">
      <c r="A65" s="2" t="s">
        <v>116</v>
      </c>
      <c r="B65" s="3">
        <v>45405.0</v>
      </c>
      <c r="C65" s="2" t="s">
        <v>22</v>
      </c>
      <c r="D65" s="2" t="s">
        <v>12</v>
      </c>
      <c r="E65" s="2" t="s">
        <v>13</v>
      </c>
      <c r="F65" s="4">
        <v>1362.25</v>
      </c>
      <c r="G65" s="2">
        <v>10.0</v>
      </c>
      <c r="H65" s="4">
        <v>141.64</v>
      </c>
      <c r="I65" s="2" t="s">
        <v>14</v>
      </c>
      <c r="J65" s="2" t="s">
        <v>26</v>
      </c>
    </row>
    <row r="66" ht="15.75" customHeight="1">
      <c r="A66" s="2" t="s">
        <v>117</v>
      </c>
      <c r="B66" s="3">
        <v>45065.0</v>
      </c>
      <c r="C66" s="2" t="s">
        <v>67</v>
      </c>
      <c r="D66" s="2" t="s">
        <v>18</v>
      </c>
      <c r="E66" s="2" t="s">
        <v>29</v>
      </c>
      <c r="F66" s="4">
        <v>94.42</v>
      </c>
      <c r="G66" s="2">
        <v>7.0</v>
      </c>
      <c r="H66" s="4">
        <v>-0.25</v>
      </c>
      <c r="I66" s="2" t="s">
        <v>36</v>
      </c>
      <c r="J66" s="2" t="s">
        <v>30</v>
      </c>
    </row>
    <row r="67" ht="15.75" customHeight="1">
      <c r="A67" s="2" t="s">
        <v>118</v>
      </c>
      <c r="B67" s="3">
        <v>45315.0</v>
      </c>
      <c r="C67" s="2" t="s">
        <v>11</v>
      </c>
      <c r="D67" s="2" t="s">
        <v>18</v>
      </c>
      <c r="E67" s="2" t="s">
        <v>58</v>
      </c>
      <c r="F67" s="4">
        <v>393.36</v>
      </c>
      <c r="G67" s="2">
        <v>2.0</v>
      </c>
      <c r="H67" s="4">
        <v>24.25</v>
      </c>
      <c r="I67" s="2" t="s">
        <v>14</v>
      </c>
      <c r="J67" s="2" t="s">
        <v>30</v>
      </c>
    </row>
    <row r="68" ht="15.75" customHeight="1">
      <c r="A68" s="2" t="s">
        <v>119</v>
      </c>
      <c r="B68" s="3">
        <v>45156.0</v>
      </c>
      <c r="C68" s="2" t="s">
        <v>35</v>
      </c>
      <c r="D68" s="2" t="s">
        <v>23</v>
      </c>
      <c r="E68" s="2" t="s">
        <v>41</v>
      </c>
      <c r="F68" s="4">
        <v>1176.22</v>
      </c>
      <c r="G68" s="2">
        <v>1.0</v>
      </c>
      <c r="H68" s="4">
        <v>222.78</v>
      </c>
      <c r="I68" s="2" t="s">
        <v>25</v>
      </c>
      <c r="J68" s="2" t="s">
        <v>45</v>
      </c>
    </row>
    <row r="69" ht="15.75" customHeight="1">
      <c r="A69" s="2" t="s">
        <v>120</v>
      </c>
      <c r="B69" s="3">
        <v>45563.0</v>
      </c>
      <c r="C69" s="2" t="s">
        <v>35</v>
      </c>
      <c r="D69" s="2" t="s">
        <v>12</v>
      </c>
      <c r="E69" s="2" t="s">
        <v>76</v>
      </c>
      <c r="F69" s="4">
        <v>206.81</v>
      </c>
      <c r="G69" s="2">
        <v>2.0</v>
      </c>
      <c r="H69" s="4">
        <v>21.46</v>
      </c>
      <c r="I69" s="2" t="s">
        <v>54</v>
      </c>
      <c r="J69" s="2" t="s">
        <v>33</v>
      </c>
    </row>
    <row r="70" ht="15.75" customHeight="1">
      <c r="A70" s="2" t="s">
        <v>121</v>
      </c>
      <c r="B70" s="3">
        <v>45304.0</v>
      </c>
      <c r="C70" s="2" t="s">
        <v>51</v>
      </c>
      <c r="D70" s="2" t="s">
        <v>12</v>
      </c>
      <c r="E70" s="2" t="s">
        <v>13</v>
      </c>
      <c r="F70" s="4">
        <v>1171.13</v>
      </c>
      <c r="G70" s="2">
        <v>3.0</v>
      </c>
      <c r="H70" s="4">
        <v>332.75</v>
      </c>
      <c r="I70" s="2" t="s">
        <v>14</v>
      </c>
      <c r="J70" s="2" t="s">
        <v>33</v>
      </c>
    </row>
    <row r="71" ht="15.75" customHeight="1">
      <c r="A71" s="2" t="s">
        <v>122</v>
      </c>
      <c r="B71" s="3">
        <v>45516.0</v>
      </c>
      <c r="C71" s="2" t="s">
        <v>11</v>
      </c>
      <c r="D71" s="2" t="s">
        <v>23</v>
      </c>
      <c r="E71" s="2" t="s">
        <v>24</v>
      </c>
      <c r="F71" s="4">
        <v>607.05</v>
      </c>
      <c r="G71" s="2">
        <v>4.0</v>
      </c>
      <c r="H71" s="4">
        <v>-70.3</v>
      </c>
      <c r="I71" s="2" t="s">
        <v>25</v>
      </c>
      <c r="J71" s="2" t="s">
        <v>15</v>
      </c>
    </row>
    <row r="72" ht="15.75" customHeight="1">
      <c r="A72" s="2" t="s">
        <v>123</v>
      </c>
      <c r="B72" s="3">
        <v>45640.0</v>
      </c>
      <c r="C72" s="2" t="s">
        <v>17</v>
      </c>
      <c r="D72" s="2" t="s">
        <v>18</v>
      </c>
      <c r="E72" s="2" t="s">
        <v>44</v>
      </c>
      <c r="F72" s="4">
        <v>908.61</v>
      </c>
      <c r="G72" s="2">
        <v>2.0</v>
      </c>
      <c r="H72" s="4">
        <v>189.27</v>
      </c>
      <c r="I72" s="2" t="s">
        <v>14</v>
      </c>
      <c r="J72" s="2" t="s">
        <v>30</v>
      </c>
    </row>
    <row r="73" ht="15.75" customHeight="1">
      <c r="A73" s="2" t="s">
        <v>124</v>
      </c>
      <c r="B73" s="3">
        <v>45472.0</v>
      </c>
      <c r="C73" s="2" t="s">
        <v>22</v>
      </c>
      <c r="D73" s="2" t="s">
        <v>18</v>
      </c>
      <c r="E73" s="2" t="s">
        <v>44</v>
      </c>
      <c r="F73" s="4">
        <v>568.44</v>
      </c>
      <c r="G73" s="2">
        <v>9.0</v>
      </c>
      <c r="H73" s="4">
        <v>80.37</v>
      </c>
      <c r="I73" s="2" t="s">
        <v>54</v>
      </c>
      <c r="J73" s="2" t="s">
        <v>42</v>
      </c>
    </row>
    <row r="74" ht="15.75" customHeight="1">
      <c r="A74" s="2" t="s">
        <v>125</v>
      </c>
      <c r="B74" s="3">
        <v>45035.0</v>
      </c>
      <c r="C74" s="2" t="s">
        <v>28</v>
      </c>
      <c r="D74" s="2" t="s">
        <v>18</v>
      </c>
      <c r="E74" s="2" t="s">
        <v>47</v>
      </c>
      <c r="F74" s="4">
        <v>960.67</v>
      </c>
      <c r="G74" s="2">
        <v>8.0</v>
      </c>
      <c r="H74" s="4">
        <v>161.67</v>
      </c>
      <c r="I74" s="2" t="s">
        <v>25</v>
      </c>
      <c r="J74" s="2" t="s">
        <v>33</v>
      </c>
    </row>
    <row r="75" ht="15.75" customHeight="1">
      <c r="A75" s="2" t="s">
        <v>126</v>
      </c>
      <c r="B75" s="3">
        <v>45557.0</v>
      </c>
      <c r="C75" s="2" t="s">
        <v>35</v>
      </c>
      <c r="D75" s="2" t="s">
        <v>23</v>
      </c>
      <c r="E75" s="2" t="s">
        <v>24</v>
      </c>
      <c r="F75" s="4">
        <v>708.01</v>
      </c>
      <c r="G75" s="2">
        <v>10.0</v>
      </c>
      <c r="H75" s="4">
        <v>-20.69</v>
      </c>
      <c r="I75" s="2" t="s">
        <v>14</v>
      </c>
      <c r="J75" s="2" t="s">
        <v>33</v>
      </c>
    </row>
    <row r="76" ht="15.75" customHeight="1">
      <c r="A76" s="2" t="s">
        <v>127</v>
      </c>
      <c r="B76" s="3">
        <v>45388.0</v>
      </c>
      <c r="C76" s="2" t="s">
        <v>67</v>
      </c>
      <c r="D76" s="2" t="s">
        <v>12</v>
      </c>
      <c r="E76" s="2" t="s">
        <v>39</v>
      </c>
      <c r="F76" s="4">
        <v>863.38</v>
      </c>
      <c r="G76" s="2">
        <v>7.0</v>
      </c>
      <c r="H76" s="4">
        <v>1.19</v>
      </c>
      <c r="I76" s="2" t="s">
        <v>36</v>
      </c>
      <c r="J76" s="2" t="s">
        <v>59</v>
      </c>
    </row>
    <row r="77" ht="15.75" customHeight="1">
      <c r="A77" s="2" t="s">
        <v>128</v>
      </c>
      <c r="B77" s="3">
        <v>45426.0</v>
      </c>
      <c r="C77" s="2" t="s">
        <v>17</v>
      </c>
      <c r="D77" s="2" t="s">
        <v>12</v>
      </c>
      <c r="E77" s="2" t="s">
        <v>62</v>
      </c>
      <c r="F77" s="4">
        <v>1200.79</v>
      </c>
      <c r="G77" s="2">
        <v>6.0</v>
      </c>
      <c r="H77" s="4">
        <v>-29.0</v>
      </c>
      <c r="I77" s="2" t="s">
        <v>36</v>
      </c>
      <c r="J77" s="2" t="s">
        <v>45</v>
      </c>
    </row>
    <row r="78" ht="15.75" customHeight="1">
      <c r="A78" s="2" t="s">
        <v>129</v>
      </c>
      <c r="B78" s="3">
        <v>45456.0</v>
      </c>
      <c r="C78" s="2" t="s">
        <v>35</v>
      </c>
      <c r="D78" s="2" t="s">
        <v>12</v>
      </c>
      <c r="E78" s="2" t="s">
        <v>13</v>
      </c>
      <c r="F78" s="4">
        <v>377.21</v>
      </c>
      <c r="G78" s="2">
        <v>7.0</v>
      </c>
      <c r="H78" s="4">
        <v>26.35</v>
      </c>
      <c r="I78" s="2" t="s">
        <v>54</v>
      </c>
      <c r="J78" s="2" t="s">
        <v>42</v>
      </c>
    </row>
    <row r="79" ht="15.75" customHeight="1">
      <c r="A79" s="2" t="s">
        <v>130</v>
      </c>
      <c r="B79" s="3">
        <v>45385.0</v>
      </c>
      <c r="C79" s="2" t="s">
        <v>81</v>
      </c>
      <c r="D79" s="2" t="s">
        <v>12</v>
      </c>
      <c r="E79" s="2" t="s">
        <v>13</v>
      </c>
      <c r="F79" s="4">
        <v>455.47</v>
      </c>
      <c r="G79" s="2">
        <v>7.0</v>
      </c>
      <c r="H79" s="4">
        <v>73.47</v>
      </c>
      <c r="I79" s="2" t="s">
        <v>36</v>
      </c>
      <c r="J79" s="2" t="s">
        <v>42</v>
      </c>
    </row>
    <row r="80" ht="15.75" customHeight="1">
      <c r="A80" s="2" t="s">
        <v>131</v>
      </c>
      <c r="B80" s="3">
        <v>45493.0</v>
      </c>
      <c r="C80" s="2" t="s">
        <v>11</v>
      </c>
      <c r="D80" s="2" t="s">
        <v>23</v>
      </c>
      <c r="E80" s="2" t="s">
        <v>32</v>
      </c>
      <c r="F80" s="4">
        <v>649.75</v>
      </c>
      <c r="G80" s="2">
        <v>9.0</v>
      </c>
      <c r="H80" s="4">
        <v>-0.74</v>
      </c>
      <c r="I80" s="2" t="s">
        <v>54</v>
      </c>
      <c r="J80" s="2" t="s">
        <v>33</v>
      </c>
    </row>
    <row r="81" ht="15.75" customHeight="1">
      <c r="A81" s="2" t="s">
        <v>132</v>
      </c>
      <c r="B81" s="3">
        <v>45240.0</v>
      </c>
      <c r="C81" s="2" t="s">
        <v>11</v>
      </c>
      <c r="D81" s="2" t="s">
        <v>18</v>
      </c>
      <c r="E81" s="2" t="s">
        <v>29</v>
      </c>
      <c r="F81" s="4">
        <v>198.57</v>
      </c>
      <c r="G81" s="2">
        <v>4.0</v>
      </c>
      <c r="H81" s="4">
        <v>-1.59</v>
      </c>
      <c r="I81" s="2" t="s">
        <v>25</v>
      </c>
      <c r="J81" s="2" t="s">
        <v>20</v>
      </c>
    </row>
    <row r="82" ht="15.75" customHeight="1">
      <c r="A82" s="2" t="s">
        <v>133</v>
      </c>
      <c r="B82" s="3">
        <v>45148.0</v>
      </c>
      <c r="C82" s="2" t="s">
        <v>49</v>
      </c>
      <c r="D82" s="2" t="s">
        <v>23</v>
      </c>
      <c r="E82" s="2" t="s">
        <v>24</v>
      </c>
      <c r="F82" s="4">
        <v>429.22</v>
      </c>
      <c r="G82" s="2">
        <v>10.0</v>
      </c>
      <c r="H82" s="4">
        <v>124.25</v>
      </c>
      <c r="I82" s="2" t="s">
        <v>36</v>
      </c>
      <c r="J82" s="2" t="s">
        <v>15</v>
      </c>
    </row>
    <row r="83" ht="15.75" customHeight="1">
      <c r="A83" s="2" t="s">
        <v>134</v>
      </c>
      <c r="B83" s="3">
        <v>45125.0</v>
      </c>
      <c r="C83" s="2" t="s">
        <v>49</v>
      </c>
      <c r="D83" s="2" t="s">
        <v>18</v>
      </c>
      <c r="E83" s="2" t="s">
        <v>29</v>
      </c>
      <c r="F83" s="4">
        <v>554.1</v>
      </c>
      <c r="G83" s="2">
        <v>5.0</v>
      </c>
      <c r="H83" s="4">
        <v>-79.59</v>
      </c>
      <c r="I83" s="2" t="s">
        <v>25</v>
      </c>
      <c r="J83" s="2" t="s">
        <v>33</v>
      </c>
    </row>
    <row r="84" ht="15.75" customHeight="1">
      <c r="A84" s="2" t="s">
        <v>135</v>
      </c>
      <c r="B84" s="3">
        <v>44973.0</v>
      </c>
      <c r="C84" s="2" t="s">
        <v>67</v>
      </c>
      <c r="D84" s="2" t="s">
        <v>12</v>
      </c>
      <c r="E84" s="2" t="s">
        <v>62</v>
      </c>
      <c r="F84" s="4">
        <v>1052.18</v>
      </c>
      <c r="G84" s="2">
        <v>3.0</v>
      </c>
      <c r="H84" s="4">
        <v>144.19</v>
      </c>
      <c r="I84" s="2" t="s">
        <v>14</v>
      </c>
      <c r="J84" s="2" t="s">
        <v>45</v>
      </c>
    </row>
    <row r="85" ht="15.75" customHeight="1">
      <c r="A85" s="2" t="s">
        <v>136</v>
      </c>
      <c r="B85" s="3">
        <v>45514.0</v>
      </c>
      <c r="C85" s="2" t="s">
        <v>22</v>
      </c>
      <c r="D85" s="2" t="s">
        <v>18</v>
      </c>
      <c r="E85" s="2" t="s">
        <v>58</v>
      </c>
      <c r="F85" s="4">
        <v>728.5</v>
      </c>
      <c r="G85" s="2">
        <v>6.0</v>
      </c>
      <c r="H85" s="4">
        <v>-48.84</v>
      </c>
      <c r="I85" s="2" t="s">
        <v>36</v>
      </c>
      <c r="J85" s="2" t="s">
        <v>42</v>
      </c>
    </row>
    <row r="86" ht="15.75" customHeight="1">
      <c r="A86" s="2" t="s">
        <v>137</v>
      </c>
      <c r="B86" s="3">
        <v>45043.0</v>
      </c>
      <c r="C86" s="2" t="s">
        <v>22</v>
      </c>
      <c r="D86" s="2" t="s">
        <v>12</v>
      </c>
      <c r="E86" s="2" t="s">
        <v>39</v>
      </c>
      <c r="F86" s="4">
        <v>747.78</v>
      </c>
      <c r="G86" s="2">
        <v>10.0</v>
      </c>
      <c r="H86" s="4">
        <v>99.64</v>
      </c>
      <c r="I86" s="2" t="s">
        <v>25</v>
      </c>
      <c r="J86" s="2" t="s">
        <v>59</v>
      </c>
    </row>
    <row r="87" ht="15.75" customHeight="1">
      <c r="A87" s="2" t="s">
        <v>138</v>
      </c>
      <c r="B87" s="3">
        <v>45503.0</v>
      </c>
      <c r="C87" s="2" t="s">
        <v>28</v>
      </c>
      <c r="D87" s="2" t="s">
        <v>18</v>
      </c>
      <c r="E87" s="2" t="s">
        <v>19</v>
      </c>
      <c r="F87" s="4">
        <v>1491.0</v>
      </c>
      <c r="G87" s="2">
        <v>2.0</v>
      </c>
      <c r="H87" s="4">
        <v>150.79</v>
      </c>
      <c r="I87" s="2" t="s">
        <v>25</v>
      </c>
      <c r="J87" s="2" t="s">
        <v>26</v>
      </c>
    </row>
    <row r="88" ht="15.75" customHeight="1">
      <c r="A88" s="2" t="s">
        <v>139</v>
      </c>
      <c r="B88" s="3">
        <v>45388.0</v>
      </c>
      <c r="C88" s="2" t="s">
        <v>17</v>
      </c>
      <c r="D88" s="2" t="s">
        <v>18</v>
      </c>
      <c r="E88" s="2" t="s">
        <v>47</v>
      </c>
      <c r="F88" s="4">
        <v>1293.05</v>
      </c>
      <c r="G88" s="2">
        <v>7.0</v>
      </c>
      <c r="H88" s="4">
        <v>-16.27</v>
      </c>
      <c r="I88" s="2" t="s">
        <v>14</v>
      </c>
      <c r="J88" s="2" t="s">
        <v>15</v>
      </c>
    </row>
    <row r="89" ht="15.75" customHeight="1">
      <c r="A89" s="2" t="s">
        <v>140</v>
      </c>
      <c r="B89" s="3">
        <v>45139.0</v>
      </c>
      <c r="C89" s="2" t="s">
        <v>61</v>
      </c>
      <c r="D89" s="2" t="s">
        <v>23</v>
      </c>
      <c r="E89" s="2" t="s">
        <v>53</v>
      </c>
      <c r="F89" s="4">
        <v>411.68</v>
      </c>
      <c r="G89" s="2">
        <v>2.0</v>
      </c>
      <c r="H89" s="4">
        <v>-32.66</v>
      </c>
      <c r="I89" s="2" t="s">
        <v>14</v>
      </c>
      <c r="J89" s="2" t="s">
        <v>59</v>
      </c>
    </row>
    <row r="90" ht="15.75" customHeight="1">
      <c r="A90" s="2" t="s">
        <v>142</v>
      </c>
      <c r="B90" s="3">
        <v>44929.0</v>
      </c>
      <c r="C90" s="2" t="s">
        <v>35</v>
      </c>
      <c r="D90" s="2" t="s">
        <v>18</v>
      </c>
      <c r="E90" s="2" t="s">
        <v>58</v>
      </c>
      <c r="F90" s="4">
        <v>1040.27</v>
      </c>
      <c r="G90" s="2">
        <v>8.0</v>
      </c>
      <c r="H90" s="4">
        <v>-19.7</v>
      </c>
      <c r="I90" s="2" t="s">
        <v>36</v>
      </c>
      <c r="J90" s="2" t="s">
        <v>33</v>
      </c>
    </row>
    <row r="91" ht="15.75" customHeight="1">
      <c r="A91" s="2" t="s">
        <v>143</v>
      </c>
      <c r="B91" s="3">
        <v>45646.0</v>
      </c>
      <c r="C91" s="2" t="s">
        <v>88</v>
      </c>
      <c r="D91" s="2" t="s">
        <v>18</v>
      </c>
      <c r="E91" s="2" t="s">
        <v>19</v>
      </c>
      <c r="F91" s="4">
        <v>1037.33</v>
      </c>
      <c r="G91" s="2">
        <v>5.0</v>
      </c>
      <c r="H91" s="4">
        <v>212.16</v>
      </c>
      <c r="I91" s="2" t="s">
        <v>25</v>
      </c>
      <c r="J91" s="2" t="s">
        <v>26</v>
      </c>
    </row>
    <row r="92" ht="15.75" customHeight="1">
      <c r="A92" s="2" t="s">
        <v>144</v>
      </c>
      <c r="B92" s="3">
        <v>45044.0</v>
      </c>
      <c r="C92" s="2" t="s">
        <v>51</v>
      </c>
      <c r="D92" s="2" t="s">
        <v>23</v>
      </c>
      <c r="E92" s="2" t="s">
        <v>53</v>
      </c>
      <c r="F92" s="4">
        <v>978.5</v>
      </c>
      <c r="G92" s="2">
        <v>5.0</v>
      </c>
      <c r="H92" s="4">
        <v>217.21</v>
      </c>
      <c r="I92" s="2" t="s">
        <v>14</v>
      </c>
      <c r="J92" s="2" t="s">
        <v>59</v>
      </c>
    </row>
    <row r="93" ht="15.75" customHeight="1">
      <c r="A93" s="2" t="s">
        <v>145</v>
      </c>
      <c r="B93" s="3">
        <v>45241.0</v>
      </c>
      <c r="C93" s="2" t="s">
        <v>11</v>
      </c>
      <c r="D93" s="2" t="s">
        <v>23</v>
      </c>
      <c r="E93" s="2" t="s">
        <v>32</v>
      </c>
      <c r="F93" s="4">
        <v>669.95</v>
      </c>
      <c r="G93" s="2">
        <v>8.0</v>
      </c>
      <c r="H93" s="4">
        <v>107.13</v>
      </c>
      <c r="I93" s="2" t="s">
        <v>54</v>
      </c>
      <c r="J93" s="2" t="s">
        <v>33</v>
      </c>
    </row>
    <row r="94" ht="15.75" customHeight="1">
      <c r="A94" s="2" t="s">
        <v>146</v>
      </c>
      <c r="B94" s="3">
        <v>45439.0</v>
      </c>
      <c r="C94" s="2" t="s">
        <v>28</v>
      </c>
      <c r="D94" s="2" t="s">
        <v>23</v>
      </c>
      <c r="E94" s="2" t="s">
        <v>24</v>
      </c>
      <c r="F94" s="4">
        <v>667.88</v>
      </c>
      <c r="G94" s="2">
        <v>10.0</v>
      </c>
      <c r="H94" s="4">
        <v>-88.2</v>
      </c>
      <c r="I94" s="2" t="s">
        <v>36</v>
      </c>
      <c r="J94" s="2" t="s">
        <v>33</v>
      </c>
    </row>
    <row r="95" ht="15.75" customHeight="1">
      <c r="A95" s="2" t="s">
        <v>147</v>
      </c>
      <c r="B95" s="3">
        <v>44953.0</v>
      </c>
      <c r="C95" s="2" t="s">
        <v>22</v>
      </c>
      <c r="D95" s="2" t="s">
        <v>12</v>
      </c>
      <c r="E95" s="2" t="s">
        <v>76</v>
      </c>
      <c r="F95" s="4">
        <v>1443.63</v>
      </c>
      <c r="G95" s="2">
        <v>10.0</v>
      </c>
      <c r="H95" s="4">
        <v>164.87</v>
      </c>
      <c r="I95" s="2" t="s">
        <v>36</v>
      </c>
      <c r="J95" s="2" t="s">
        <v>45</v>
      </c>
    </row>
    <row r="96" ht="15.75" customHeight="1">
      <c r="A96" s="2" t="s">
        <v>148</v>
      </c>
      <c r="B96" s="3">
        <v>45106.0</v>
      </c>
      <c r="C96" s="2" t="s">
        <v>17</v>
      </c>
      <c r="D96" s="2" t="s">
        <v>18</v>
      </c>
      <c r="E96" s="2" t="s">
        <v>56</v>
      </c>
      <c r="F96" s="4">
        <v>984.23</v>
      </c>
      <c r="G96" s="2">
        <v>5.0</v>
      </c>
      <c r="H96" s="4">
        <v>-67.25</v>
      </c>
      <c r="I96" s="2" t="s">
        <v>54</v>
      </c>
      <c r="J96" s="2" t="s">
        <v>42</v>
      </c>
    </row>
    <row r="97" ht="15.75" customHeight="1">
      <c r="A97" s="2" t="s">
        <v>149</v>
      </c>
      <c r="B97" s="3">
        <v>45020.0</v>
      </c>
      <c r="C97" s="2" t="s">
        <v>61</v>
      </c>
      <c r="D97" s="2" t="s">
        <v>18</v>
      </c>
      <c r="E97" s="2" t="s">
        <v>47</v>
      </c>
      <c r="F97" s="4">
        <v>624.36</v>
      </c>
      <c r="G97" s="2">
        <v>6.0</v>
      </c>
      <c r="H97" s="4">
        <v>94.63</v>
      </c>
      <c r="I97" s="2" t="s">
        <v>36</v>
      </c>
      <c r="J97" s="2" t="s">
        <v>26</v>
      </c>
    </row>
    <row r="98" ht="15.75" customHeight="1">
      <c r="A98" s="2" t="s">
        <v>150</v>
      </c>
      <c r="B98" s="3">
        <v>45637.0</v>
      </c>
      <c r="C98" s="2" t="s">
        <v>49</v>
      </c>
      <c r="D98" s="2" t="s">
        <v>18</v>
      </c>
      <c r="E98" s="2" t="s">
        <v>47</v>
      </c>
      <c r="F98" s="4">
        <v>1000.62</v>
      </c>
      <c r="G98" s="2">
        <v>7.0</v>
      </c>
      <c r="H98" s="4">
        <v>216.24</v>
      </c>
      <c r="I98" s="2" t="s">
        <v>14</v>
      </c>
      <c r="J98" s="2" t="s">
        <v>42</v>
      </c>
    </row>
    <row r="99" ht="15.75" customHeight="1">
      <c r="A99" s="2" t="s">
        <v>151</v>
      </c>
      <c r="B99" s="3">
        <v>45017.0</v>
      </c>
      <c r="C99" s="2" t="s">
        <v>22</v>
      </c>
      <c r="D99" s="2" t="s">
        <v>18</v>
      </c>
      <c r="E99" s="2" t="s">
        <v>47</v>
      </c>
      <c r="F99" s="4">
        <v>498.45</v>
      </c>
      <c r="G99" s="2">
        <v>7.0</v>
      </c>
      <c r="H99" s="4">
        <v>119.23</v>
      </c>
      <c r="I99" s="2" t="s">
        <v>54</v>
      </c>
      <c r="J99" s="2" t="s">
        <v>26</v>
      </c>
    </row>
    <row r="100" ht="15.75" customHeight="1">
      <c r="A100" s="2" t="s">
        <v>152</v>
      </c>
      <c r="B100" s="3">
        <v>44982.0</v>
      </c>
      <c r="C100" s="2" t="s">
        <v>22</v>
      </c>
      <c r="D100" s="2" t="s">
        <v>12</v>
      </c>
      <c r="E100" s="2" t="s">
        <v>62</v>
      </c>
      <c r="F100" s="4">
        <v>941.5</v>
      </c>
      <c r="G100" s="2">
        <v>8.0</v>
      </c>
      <c r="H100" s="4">
        <v>123.75</v>
      </c>
      <c r="I100" s="2" t="s">
        <v>25</v>
      </c>
      <c r="J100" s="2" t="s">
        <v>33</v>
      </c>
    </row>
    <row r="101" ht="15.75" customHeight="1">
      <c r="A101" s="2" t="s">
        <v>153</v>
      </c>
      <c r="B101" s="3">
        <v>45489.0</v>
      </c>
      <c r="C101" s="2" t="s">
        <v>88</v>
      </c>
      <c r="D101" s="2" t="s">
        <v>12</v>
      </c>
      <c r="E101" s="2" t="s">
        <v>62</v>
      </c>
      <c r="F101" s="4">
        <v>668.41</v>
      </c>
      <c r="G101" s="2">
        <v>8.0</v>
      </c>
      <c r="H101" s="4">
        <v>-63.74</v>
      </c>
      <c r="I101" s="2" t="s">
        <v>25</v>
      </c>
      <c r="J101" s="2" t="s">
        <v>59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/>
      <c r="D1" s="6"/>
      <c r="E1" s="7" t="s">
        <v>141</v>
      </c>
      <c r="F1" s="8"/>
      <c r="G1" s="8"/>
    </row>
    <row r="17"/>
    <row r="18"/>
    <row r="19">
      <c r="C19" s="12" t="s">
        <v>154</v>
      </c>
      <c r="D19" s="13"/>
    </row>
    <row r="20">
      <c r="C20" s="12" t="s">
        <v>155</v>
      </c>
      <c r="D20" s="13"/>
    </row>
    <row r="21"/>
  </sheetData>
  <conditionalFormatting sqref="A18:B20">
    <cfRule type="expression" dxfId="0" priority="1" stopIfTrue="1">
      <formula>$B18&gt;1980</formula>
    </cfRule>
  </conditionalFormatting>
  <conditionalFormatting sqref="A18:B20">
    <cfRule type="expression" dxfId="1" priority="2" stopIfTrue="1">
      <formula>AND($B18&gt;1900, $B18&lt;=1980)</formula>
    </cfRule>
  </conditionalFormatting>
  <conditionalFormatting sqref="A18:B20">
    <cfRule type="expression" dxfId="2" priority="3" stopIfTrue="1">
      <formula>$B18&lt;=1900</formula>
    </cfRule>
  </conditionalFormatting>
  <conditionalFormatting sqref="A17:B21">
    <cfRule type="expression" dxfId="3" priority="4" stopIfTrue="1">
      <formula>$B17&gt;1980</formula>
    </cfRule>
  </conditionalFormatting>
  <conditionalFormatting sqref="A17:B21">
    <cfRule type="expression" dxfId="4" priority="5" stopIfTrue="1">
      <formula>AND($B17&gt;=1900, $B17&lt;=1980)</formula>
    </cfRule>
  </conditionalFormatting>
  <conditionalFormatting sqref="A17:B21">
    <cfRule type="expression" dxfId="5" priority="6" stopIfTrue="1">
      <formula>$B17&lt;1900</formula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conditionalFormatting sqref="A2:B4">
    <cfRule type="expression" dxfId="0" priority="1" stopIfTrue="1">
      <formula>$B2&gt;1980</formula>
    </cfRule>
  </conditionalFormatting>
  <conditionalFormatting sqref="A2:B4">
    <cfRule type="expression" dxfId="1" priority="2" stopIfTrue="1">
      <formula>AND($B2&gt;1900, $B2&lt;=1980)</formula>
    </cfRule>
  </conditionalFormatting>
  <conditionalFormatting sqref="A2:B4">
    <cfRule type="expression" dxfId="2" priority="3" stopIfTrue="1">
      <formula>$B2&lt;=1900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